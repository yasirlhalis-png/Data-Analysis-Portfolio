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Sheet3" sheetId="2" r:id="rId6"/>
    <sheet state="visible" name="Pivot Table 8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<sst xmlns="http://schemas.openxmlformats.org/spreadsheetml/2006/main" count="1154" uniqueCount="269">
  <si>
    <t>Data Cleaning Exercise – Urban Dubai Restaurant Dataset</t>
  </si>
  <si>
    <t>Objective:</t>
  </si>
  <si>
    <t>Students will practice cleaning, standardizing, and validating a messy dataset to prepare it for analysis.</t>
  </si>
  <si>
    <t>Instructions:</t>
  </si>
  <si>
    <t>Work with the provided messy dataset (100 rows).</t>
  </si>
  <si>
    <t>Complete the tasks below to create a clean dataset ready for analysis.</t>
  </si>
  <si>
    <t>Use Google Sheets for cleaning.</t>
  </si>
  <si>
    <t>Tasks</t>
  </si>
  <si>
    <t>Task 1: Standardize Dates</t>
  </si>
  <si>
    <t>Convert all dates to the format: DD-MM-YYYY</t>
  </si>
  <si>
    <t>Hint: Identify formats like Jan 6, 2025, 11-01-2025, 2025/1/07.</t>
  </si>
  <si>
    <t>Task 2: Fix Customer IDs</t>
  </si>
  <si>
    <t>Fill in missing Customer IDs.</t>
  </si>
  <si>
    <t>Remove duplicates or flag rows with the same Customer ID.</t>
  </si>
  <si>
    <t>Task 3: Normalize Text</t>
  </si>
  <si>
    <t>Cuisine: First letter capitalized (Pakistani, Chinese, Indian, etc.).</t>
  </si>
  <si>
    <t>Dish: Use title case (Chicken Biryani, Butter Chicken).</t>
  </si>
  <si>
    <t>Category: Standardize spelling (Main Course, Starter, Dessert, Breakfast).</t>
  </si>
  <si>
    <t>Task 4: Correct Typos</t>
  </si>
  <si>
    <t>Fix misspellings in Cuisine (Chineese → Chinese, Pakstani → Pakistani, Brithish → British).</t>
  </si>
  <si>
    <t>Correct obvious dish typos (e.g., Sheesh tawook → Sheesh Tawook).</t>
  </si>
  <si>
    <t>Task 5: Clean Quantity (Qty)</t>
  </si>
  <si>
    <t>Replace word numbers like two, three with numeric values (2, 3).</t>
  </si>
  <si>
    <t>Ensure Qty column contains only numbers.</t>
  </si>
  <si>
    <t>Task 6: Handle Missing / Incorrect Prices</t>
  </si>
  <si>
    <t>Fill missing Unit Price values.</t>
  </si>
  <si>
    <t>Recalculate Total Revenue = Qty × Unit Price.</t>
  </si>
  <si>
    <t>Fix non-numeric entries like seven20, NaN, blanks.</t>
  </si>
  <si>
    <t>Task 7: Standardize Payment Mode</t>
  </si>
  <si>
    <t>Use only Cash, Card, Online.</t>
  </si>
  <si>
    <t>Correct variations like cash, CARD, on-line.</t>
  </si>
  <si>
    <t>Task 8: Remove Extra Spaces / Symbols</t>
  </si>
  <si>
    <t>Trim leading/trailing spaces.</t>
  </si>
  <si>
    <t>Remove unwanted symbols from Dish and numeric fields (!!, /-, $).</t>
  </si>
  <si>
    <t>Task 9: Identify &amp; Remove Duplicates</t>
  </si>
  <si>
    <t>Remove exact duplicates or flag near-duplicates for review.</t>
  </si>
  <si>
    <t>Task 10: Fill Missing Categories</t>
  </si>
  <si>
    <t>Assign a Category to any dish missing this information (Starter, Main Course, Dessert, Breakfast).</t>
  </si>
  <si>
    <t>Optional Bonus Tasks</t>
  </si>
  <si>
    <t>Flag unusually high or low prices for verification.</t>
  </si>
  <si>
    <t xml:space="preserve">  </t>
  </si>
  <si>
    <t>Check for outliers in Qty or Total Revenue.</t>
  </si>
  <si>
    <t>Create a cleaned version of the dataset and compare it with the messy one.</t>
  </si>
  <si>
    <t>Expected Outcome</t>
  </si>
  <si>
    <t>After cleaning, the dataset should be ready for analysis, such as:</t>
  </si>
  <si>
    <t>Most popular dishes.</t>
  </si>
  <si>
    <t>Average spending by nationality.</t>
  </si>
  <si>
    <t>Total revenue by payment mode.</t>
  </si>
  <si>
    <t>Category analysis (Starter vs Main Course).</t>
  </si>
  <si>
    <t>ID</t>
  </si>
  <si>
    <t>Date</t>
  </si>
  <si>
    <t>Customer</t>
  </si>
  <si>
    <t>Cuisine</t>
  </si>
  <si>
    <t>Dish</t>
  </si>
  <si>
    <t>Category</t>
  </si>
  <si>
    <t>Qty</t>
  </si>
  <si>
    <t>Unit Price</t>
  </si>
  <si>
    <t>Total Revenue</t>
  </si>
  <si>
    <t>Payment mode</t>
  </si>
  <si>
    <t>C001</t>
  </si>
  <si>
    <t>pakistani</t>
  </si>
  <si>
    <t>Chicken Biryani</t>
  </si>
  <si>
    <t>Main Course</t>
  </si>
  <si>
    <t>Cash</t>
  </si>
  <si>
    <t>C002</t>
  </si>
  <si>
    <t>CHINESE</t>
  </si>
  <si>
    <t>Sweet &amp; Sour Chiken</t>
  </si>
  <si>
    <t>main course</t>
  </si>
  <si>
    <t>card</t>
  </si>
  <si>
    <t>C003</t>
  </si>
  <si>
    <t>Indian</t>
  </si>
  <si>
    <t>Butter Chicken</t>
  </si>
  <si>
    <t>three</t>
  </si>
  <si>
    <t>Card</t>
  </si>
  <si>
    <t>C004</t>
  </si>
  <si>
    <t>Arab</t>
  </si>
  <si>
    <t>Shawarma platter</t>
  </si>
  <si>
    <t>Main course</t>
  </si>
  <si>
    <t>C005</t>
  </si>
  <si>
    <t>British</t>
  </si>
  <si>
    <t>Fish &amp; Chips</t>
  </si>
  <si>
    <t>Online</t>
  </si>
  <si>
    <t>C006</t>
  </si>
  <si>
    <t>Pakistani</t>
  </si>
  <si>
    <t>Seekh Kebabs</t>
  </si>
  <si>
    <t>Starter</t>
  </si>
  <si>
    <t>C007</t>
  </si>
  <si>
    <t>Chinese</t>
  </si>
  <si>
    <t>Veg Spring Rolls</t>
  </si>
  <si>
    <t>seven20</t>
  </si>
  <si>
    <t>indian</t>
  </si>
  <si>
    <t>Paneer Tikka</t>
  </si>
  <si>
    <t>online</t>
  </si>
  <si>
    <t>C009</t>
  </si>
  <si>
    <t>hummus &amp; bread</t>
  </si>
  <si>
    <t>C010</t>
  </si>
  <si>
    <t>Caesar Salad</t>
  </si>
  <si>
    <t>C011</t>
  </si>
  <si>
    <t>nihari</t>
  </si>
  <si>
    <t>cash</t>
  </si>
  <si>
    <t>C012</t>
  </si>
  <si>
    <t>Fried Rice</t>
  </si>
  <si>
    <t>C013</t>
  </si>
  <si>
    <t>masala dosa</t>
  </si>
  <si>
    <t>main Course</t>
  </si>
  <si>
    <t>CARD</t>
  </si>
  <si>
    <t>C014</t>
  </si>
  <si>
    <t>Mixed Grill</t>
  </si>
  <si>
    <t>C015</t>
  </si>
  <si>
    <t>Britsh</t>
  </si>
  <si>
    <t>Shepherds Pie</t>
  </si>
  <si>
    <t>Main hourse</t>
  </si>
  <si>
    <t>on-line</t>
  </si>
  <si>
    <t>C016</t>
  </si>
  <si>
    <t>Haleem</t>
  </si>
  <si>
    <t>C017</t>
  </si>
  <si>
    <t>chinese</t>
  </si>
  <si>
    <t>Chow Mein</t>
  </si>
  <si>
    <t>MainCourse</t>
  </si>
  <si>
    <t>C018</t>
  </si>
  <si>
    <t>Samosa</t>
  </si>
  <si>
    <t>C019</t>
  </si>
  <si>
    <t>Falafel Wrap</t>
  </si>
  <si>
    <t>two</t>
  </si>
  <si>
    <t>C022</t>
  </si>
  <si>
    <t>arab</t>
  </si>
  <si>
    <t>Karahi Chicken</t>
  </si>
  <si>
    <t>C023</t>
  </si>
  <si>
    <t>Hot &amp; Sour Soup</t>
  </si>
  <si>
    <t>C024</t>
  </si>
  <si>
    <t>british</t>
  </si>
  <si>
    <t>Fish n Chips</t>
  </si>
  <si>
    <t>C025</t>
  </si>
  <si>
    <t>Biryani</t>
  </si>
  <si>
    <t>C026</t>
  </si>
  <si>
    <t>Pancakes</t>
  </si>
  <si>
    <t>Dessert</t>
  </si>
  <si>
    <t>C027</t>
  </si>
  <si>
    <t>Mango lassi</t>
  </si>
  <si>
    <t>dessert</t>
  </si>
  <si>
    <t>C028</t>
  </si>
  <si>
    <t>Nihari</t>
  </si>
  <si>
    <t>NaN</t>
  </si>
  <si>
    <t>C029</t>
  </si>
  <si>
    <t>Sheesh tawook</t>
  </si>
  <si>
    <t>C030</t>
  </si>
  <si>
    <t>Spring Roll</t>
  </si>
  <si>
    <t>C031</t>
  </si>
  <si>
    <t>Falafel</t>
  </si>
  <si>
    <t>C032</t>
  </si>
  <si>
    <t>Apple Pie</t>
  </si>
  <si>
    <t>C033</t>
  </si>
  <si>
    <t>Mutton Korma</t>
  </si>
  <si>
    <t>C034</t>
  </si>
  <si>
    <t>Hummus</t>
  </si>
  <si>
    <t>C035</t>
  </si>
  <si>
    <t>Manchurian</t>
  </si>
  <si>
    <t>C036</t>
  </si>
  <si>
    <t>Aloo Paratha</t>
  </si>
  <si>
    <t>Breakfast</t>
  </si>
  <si>
    <t>C037</t>
  </si>
  <si>
    <t>Pudding</t>
  </si>
  <si>
    <t>C038</t>
  </si>
  <si>
    <t>Biryani!!</t>
  </si>
  <si>
    <t>C039</t>
  </si>
  <si>
    <t>C040</t>
  </si>
  <si>
    <t>C041</t>
  </si>
  <si>
    <t>C042</t>
  </si>
  <si>
    <t>Pakstani</t>
  </si>
  <si>
    <t>Chicken Tikka</t>
  </si>
  <si>
    <t>C043</t>
  </si>
  <si>
    <t>Chineese</t>
  </si>
  <si>
    <t>Veg Spring Roll</t>
  </si>
  <si>
    <t>C044</t>
  </si>
  <si>
    <t>Paneer Butter Masala</t>
  </si>
  <si>
    <t>C045</t>
  </si>
  <si>
    <t>Lamb Kofta</t>
  </si>
  <si>
    <t>C046</t>
  </si>
  <si>
    <t>Brithish</t>
  </si>
  <si>
    <t>Yorkshire Pudding</t>
  </si>
  <si>
    <t>C047</t>
  </si>
  <si>
    <t>C048</t>
  </si>
  <si>
    <t>C049</t>
  </si>
  <si>
    <t>Masala Dosa</t>
  </si>
  <si>
    <t>C050</t>
  </si>
  <si>
    <t>Shawarma</t>
  </si>
  <si>
    <t>C051</t>
  </si>
  <si>
    <t>Shepherd Pie</t>
  </si>
  <si>
    <t>C052</t>
  </si>
  <si>
    <t>C053</t>
  </si>
  <si>
    <t>C054</t>
  </si>
  <si>
    <t>C055</t>
  </si>
  <si>
    <t>C056</t>
  </si>
  <si>
    <t>C057</t>
  </si>
  <si>
    <t>C058</t>
  </si>
  <si>
    <t>Egg Fried Rice</t>
  </si>
  <si>
    <t>C059</t>
  </si>
  <si>
    <t>Palak Paneer</t>
  </si>
  <si>
    <t>C060</t>
  </si>
  <si>
    <t>Chicken Kabsa</t>
  </si>
  <si>
    <t>C061</t>
  </si>
  <si>
    <t>Trifle</t>
  </si>
  <si>
    <t>C062</t>
  </si>
  <si>
    <t>Bun Kebab</t>
  </si>
  <si>
    <t>C063</t>
  </si>
  <si>
    <t>Chicken Chow Soup</t>
  </si>
  <si>
    <t>C064</t>
  </si>
  <si>
    <t>Idli Sambhar</t>
  </si>
  <si>
    <t>C065</t>
  </si>
  <si>
    <t>Moutabal</t>
  </si>
  <si>
    <t>C066</t>
  </si>
  <si>
    <t>Cottage Pie</t>
  </si>
  <si>
    <t>C067</t>
  </si>
  <si>
    <t>Sindhi Biryani</t>
  </si>
  <si>
    <t>C068</t>
  </si>
  <si>
    <t>C069</t>
  </si>
  <si>
    <t>C070</t>
  </si>
  <si>
    <t>Lentil Soup</t>
  </si>
  <si>
    <t>C071</t>
  </si>
  <si>
    <t>Victoria Sponge</t>
  </si>
  <si>
    <t>C072</t>
  </si>
  <si>
    <t>C073</t>
  </si>
  <si>
    <t>Vegetable Fried Rice</t>
  </si>
  <si>
    <t>C074</t>
  </si>
  <si>
    <t>Pani Puri</t>
  </si>
  <si>
    <t>C075</t>
  </si>
  <si>
    <t>Stuffed Grape Leaves</t>
  </si>
  <si>
    <t>C076</t>
  </si>
  <si>
    <t>Roast Beef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</si>
  <si>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</si>
  <si>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</si>
  <si>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</si>
  <si>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</si>
  <si>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</si>
  <si>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</si>
  <si>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</si>
  <si>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</si>
  <si>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</si>
  <si>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</si>
  <si>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</si>
  <si>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</si>
  <si>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</si>
  <si>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</si>
  <si>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</si>
  <si>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</si>
  <si>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</si>
  <si>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</si>
  <si>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</si>
  <si>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</si>
  <si>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</si>
  <si>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</si>
  <si>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</si>
  <si>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</si>
  <si>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</si>
  <si>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Unit_ Price</t>
  </si>
  <si>
    <t>Sweet &amp; Sour Chicken</t>
  </si>
  <si>
    <t>Shawarma Platter</t>
  </si>
  <si>
    <t>Fish and Chips</t>
  </si>
  <si>
    <t>C008</t>
  </si>
  <si>
    <t>Hummus &amp; Bread</t>
  </si>
  <si>
    <t>Shepherd's Pie</t>
  </si>
  <si>
    <t>Mango Lassi</t>
  </si>
  <si>
    <t>Sheesh Tawook</t>
  </si>
  <si>
    <t>Spring Rolls</t>
  </si>
  <si>
    <t>SUM of Qty</t>
  </si>
  <si>
    <t>SUM of Total Revenue</t>
  </si>
  <si>
    <t>Grand Total</t>
  </si>
  <si>
    <t>COUNT of Total Revenue</t>
  </si>
  <si>
    <t>AVERAGE of 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</si>
</sst>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yyyy/mm/dd"/>
    <numFmt numFmtId="166" formatCode="yyyy-mm-dd"/>
    <numFmt numFmtId="167" formatCode="yyyy/m/d"/>
    <numFmt numFmtId="168" formatCode="mm-dd-yyyy"/>
    <numFmt numFmtId="169" formatCode="mmm d, yyyy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</font>
    <font>
      <b/>
      <sz val="11.0"/>
      <color theme="1"/>
      <name val="Arial"/>
      <scheme val="minor"/>
    </font>
    <font>
      <i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2" fontId="3" numFmtId="0" xfId="0" applyAlignment="1" applyFill="1" applyFont="1">
      <alignment vertical="bottom"/>
    </xf>
    <xf borderId="0" fillId="2" fontId="2" numFmtId="166" xfId="0" applyAlignment="1" applyFont="1" applyNumberFormat="1">
      <alignment vertical="bottom"/>
    </xf>
    <xf borderId="0" fillId="2" fontId="2" numFmtId="167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0" fontId="2" numFmtId="169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2" numFmtId="167" xfId="0" applyAlignment="1" applyFont="1" applyNumberFormat="1">
      <alignment vertical="bottom"/>
    </xf>
    <xf borderId="0" fillId="2" fontId="2" numFmtId="16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 readingOrder="0" shrinkToFit="0" vertical="bottom" wrapText="0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2" fillId="0" fontId="8" numFmtId="0" xfId="0" applyBorder="1" applyFont="1"/>
    <xf borderId="2" fillId="0" fontId="6" numFmtId="0" xfId="0" applyBorder="1" applyFont="1"/>
    <xf borderId="2" fillId="3" fontId="9" numFmtId="0" xfId="0" applyBorder="1" applyFill="1" applyFont="1"/>
    <xf borderId="2" fillId="0" fontId="6" numFmtId="3" xfId="0" applyBorder="1" applyFont="1" applyNumberFormat="1"/>
    <xf borderId="2" fillId="3" fontId="9" numFmtId="1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" sheet="Sheet3"/>
  </cacheSource>
  <cacheFields>
    <cacheField name="ID" numFmtId="0">
      <sharedItems containsSemiMixedTypes="0" containsString="0" containsNumber="1" containsInteger="1">
        <n v="301.0"/>
        <n v="302.0"/>
        <n v="303.0"/>
        <n v="304.0"/>
        <n v="305.0"/>
        <n v="306.0"/>
        <n v="307.0"/>
        <n v="308.0"/>
        <n v="309.0"/>
        <n v="310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</sharedItems>
    </cacheField>
    <cacheField name="Date" numFmtId="164">
      <sharedItems containsSemiMixedTypes="0" containsDate="1" containsString="0"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11-0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</sharedItems>
    </cacheField>
    <cacheField name="Customer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</sharedItems>
    </cacheField>
    <cacheField name="Cuisine" numFmtId="0">
      <sharedItems>
        <s v="Pakistani"/>
        <s v="Chinese"/>
        <s v="Indian"/>
        <s v="Arab"/>
        <s v="British"/>
      </sharedItems>
    </cacheField>
    <cacheField name="Dish" numFmtId="0">
      <sharedItems>
        <s v="Chicken Biryani"/>
        <s v="Sweet &amp; Sour Chicken"/>
        <s v="Butter Chicken"/>
        <s v="Shawarma Platter"/>
        <s v="Fish and Chips"/>
        <s v="Seekh Kebabs"/>
        <s v="Veg Spring Rolls"/>
        <s v="Paneer Tikka"/>
        <s v="Hummus &amp; Bread"/>
        <s v="Caesar Salad"/>
        <s v="Nihari"/>
        <s v="Fried Rice"/>
        <s v="Masala Dosa"/>
        <s v="Mixed Grill"/>
        <s v="Shepherd's Pie"/>
        <s v="Haleem"/>
        <s v="Chow Mein"/>
        <s v="Samosa"/>
        <s v="Falafel Wrap"/>
        <s v="Karahi Chicken"/>
        <s v="Hot &amp; Sour Soup"/>
        <s v="Biryani"/>
        <s v="Pancakes"/>
        <s v="Mango Lassi"/>
        <s v="Sheesh Tawook"/>
        <s v="Spring Rolls"/>
        <s v="Falafel"/>
        <s v="Apple Pie"/>
        <s v="Mutton Korma"/>
        <s v="Hummus"/>
        <s v="Manchurian"/>
        <s v="Aloo Paratha"/>
        <s v="Pudding"/>
        <s v="Chicken Tikka"/>
        <s v="Paneer Butter Masala"/>
        <s v="Lamb Kofta"/>
        <s v="Yorkshire Pudding"/>
        <s v="Shawarma"/>
        <s v="Egg Fried Rice"/>
        <s v="Palak Paneer"/>
        <s v="Chicken Kabsa"/>
        <s v="Trifle"/>
        <s v="Bun Kebab"/>
        <s v="Chicken Chow Soup"/>
        <s v="Idli Sambhar"/>
        <s v="Moutabal"/>
        <s v="Cottage Pie"/>
        <s v="Sindhi Biryani"/>
        <s v="Lentil Soup"/>
        <s v="Victoria Sponge"/>
        <s v="Vegetable Fried Rice"/>
        <s v="Pani Puri"/>
        <s v="Stuffed Grape Leaves"/>
        <s v="Roast Beef"/>
      </sharedItems>
    </cacheField>
    <cacheField name="Category" numFmtId="0">
      <sharedItems>
        <s v="Main Course"/>
        <s v="Starter"/>
        <s v="Dessert"/>
        <s v="Breakfast"/>
      </sharedItems>
    </cacheField>
    <cacheField name="Qty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Unit_ Price" numFmtId="0">
      <sharedItems containsSemiMixedTypes="0" containsString="0" containsNumber="1" containsInteger="1">
        <n v="450.0"/>
        <n v="700.0"/>
        <n v="650.0"/>
        <n v="550.0"/>
        <n v="800.0"/>
        <n v="250.0"/>
        <n v="180.0"/>
        <n v="300.0"/>
        <n v="200.0"/>
        <n v="350.0"/>
        <n v="600.0"/>
        <n v="400.0"/>
        <n v="750.0"/>
        <n v="850.0"/>
        <n v="500.0"/>
        <n v="120.0"/>
        <n v="150.0"/>
        <n v="220.0"/>
        <n v="100.0"/>
        <n v="900.0"/>
      </sharedItems>
    </cacheField>
    <cacheField name="Total Revenue" numFmtId="0">
      <sharedItems containsSemiMixedTypes="0" containsString="0" containsNumber="1" containsInteger="1">
        <n v="900.0"/>
        <n v="700.0"/>
        <n v="1950.0"/>
        <n v="1100.0"/>
        <n v="800.0"/>
        <n v="750.0"/>
        <n v="720.0"/>
        <n v="600.0"/>
        <n v="1500.0"/>
        <n v="850.0"/>
        <n v="480.0"/>
        <n v="1200.0"/>
        <n v="1650.0"/>
        <n v="500.0"/>
        <n v="1800.0"/>
        <n v="2800.0"/>
        <n v="540.0"/>
        <n v="200.0"/>
        <n v="1050.0"/>
        <n v="2200.0"/>
        <n v="1600.0"/>
        <n v="1350.0"/>
        <n v="1400.0"/>
        <n v="1300.0"/>
        <n v="660.0"/>
        <n v="1700.0"/>
        <n v="1000.0"/>
      </sharedItems>
    </cacheField>
    <cacheField name="Payment mode" numFmtId="0">
      <sharedItems>
        <s v="Cash"/>
        <s v="Card"/>
        <s v="Onlin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B5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Cuis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ayment mode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SUM of Qty" fld="6" baseField="0"/>
  </dataFields>
</pivotTableDefinition>
</file>

<file path=xl/pivotTables/pivotTable2.xml><?xml version="1.0" encoding="utf-8"?>
<pivotTableDefinition xmlns="http://schemas.openxmlformats.org/spreadsheetml/2006/main" name="Pivot Table 8 2" cacheId="0" dataCaption="" compact="0" compactData="0">
  <location ref="D1:E5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Cuis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ayment mode" axis="axisRow" compact="0" outline="0" multipleItemSelectionAllowed="1" showAll="0" sortType="ascending">
      <items>
        <item x="1"/>
        <item x="0"/>
        <item x="2"/>
        <item t="default"/>
      </items>
    </pivotField>
  </pivotFields>
  <rowFields>
    <field x="9"/>
  </rowFields>
  <dataFields>
    <dataField name="SUM of Total Revenue" fld="8" baseField="0"/>
  </dataFields>
</pivotTableDefinition>
</file>

<file path=xl/pivotTables/pivotTable3.xml><?xml version="1.0" encoding="utf-8"?>
<pivotTableDefinition xmlns="http://schemas.openxmlformats.org/spreadsheetml/2006/main" name="Pivot Table 8 3" cacheId="0" dataCaption="" compact="0" compactData="0">
  <location ref="D7:E12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Cuis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ategory" axis="axisRow" compact="0" outline="0" multipleItemSelectionAllowed="1" showAll="0" sortType="descending">
      <items>
        <item x="1"/>
        <item x="0"/>
        <item x="2"/>
        <item x="3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ayment mode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COUNT of Total Revenue" fld="8" subtotal="countNums" baseField="0"/>
  </dataFields>
</pivotTableDefinition>
</file>

<file path=xl/pivotTables/pivotTable4.xml><?xml version="1.0" encoding="utf-8"?>
<pivotTableDefinition xmlns="http://schemas.openxmlformats.org/spreadsheetml/2006/main" name="Pivot Table 8 4" cacheId="0" dataCaption="" compact="0" compactData="0">
  <location ref="D14:E20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Cuisine" axis="axisRow" compact="0" outline="0" multipleItemSelectionAllowed="1" showAll="0" sortType="ascending">
      <items>
        <item x="3"/>
        <item x="4"/>
        <item x="1"/>
        <item x="2"/>
        <item x="0"/>
        <item t="default"/>
      </items>
    </pivotField>
    <pivotField name="D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ayment mode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AVERAGE of Total Revenue" fld="8" subtotal="average" baseField="0"/>
  </dataFields>
</pivotTableDefinition>
</file>

<file path=xl/pivotTables/pivotTable5.xml><?xml version="1.0" encoding="utf-8"?>
<pivotTableDefinition xmlns="http://schemas.openxmlformats.org/spreadsheetml/2006/main" name="Pivot Table 8 5" cacheId="0" dataCaption="" compact="0" compactData="0">
  <location ref="D22:E2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Cuisine" axis="axisRow" compact="0" outline="0" multipleItemSelectionAllowed="1" showAll="0" sortType="ascending">
      <items>
        <item x="3"/>
        <item x="4"/>
        <item x="1"/>
        <item x="2"/>
        <item x="0"/>
        <item t="default"/>
      </items>
    </pivotField>
    <pivotField name="D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ayment mode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Total Revenue" fld="8" baseField="0"/>
  </dataFields>
</pivotTableDefinition>
</file>

<file path=xl/tables/table1.xml><?xml version="1.0" encoding="utf-8"?>
<table xmlns="http://schemas.openxmlformats.org/spreadsheetml/2006/main" ref="A1:J101" displayName="Table2" name="Table2" id="1">
  <tableColumns count="10">
    <tableColumn name="ID" id="1"/>
    <tableColumn name="Date" id="2"/>
    <tableColumn name="Customer" id="3"/>
    <tableColumn name="Cuisine" id="4"/>
    <tableColumn name="Dish" id="5"/>
    <tableColumn name="Category" id="6"/>
    <tableColumn name="Qty" id="7"/>
    <tableColumn name="Unit_ Price" id="8"/>
    <tableColumn name="Total Revenue" id="9"/>
    <tableColumn name="Payment mode" id="10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9" max="9" width="17.5"/>
    <col customWidth="1" min="10" max="10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</v>
      </c>
      <c r="B3" s="4"/>
      <c r="C3" s="5"/>
      <c r="D3" s="5"/>
      <c r="E3" s="5"/>
      <c r="F3" s="5"/>
      <c r="G3" s="5"/>
      <c r="H3" s="5"/>
      <c r="I3" s="5"/>
      <c r="J3" s="5"/>
      <c r="K3" s="2"/>
      <c r="L3" s="2"/>
      <c r="M3" s="2"/>
      <c r="N3" s="2"/>
      <c r="O3" s="2"/>
      <c r="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2"/>
      <c r="L4" s="2"/>
      <c r="M4" s="2"/>
      <c r="N4" s="2"/>
      <c r="O4" s="2"/>
      <c r="P4" s="2"/>
    </row>
    <row r="5">
      <c r="A5" s="3" t="s">
        <v>3</v>
      </c>
      <c r="B5" s="4"/>
      <c r="C5" s="5"/>
      <c r="D5" s="5"/>
      <c r="E5" s="5"/>
      <c r="F5" s="5"/>
      <c r="G5" s="5"/>
      <c r="H5" s="5"/>
      <c r="I5" s="5"/>
      <c r="J5" s="5"/>
      <c r="K5" s="2"/>
      <c r="L5" s="2"/>
      <c r="M5" s="2"/>
      <c r="N5" s="2"/>
      <c r="O5" s="2"/>
      <c r="P5" s="2"/>
    </row>
    <row r="6">
      <c r="A6" s="3" t="s">
        <v>4</v>
      </c>
      <c r="B6" s="6"/>
      <c r="C6" s="5"/>
      <c r="D6" s="5"/>
      <c r="E6" s="5"/>
      <c r="F6" s="5"/>
      <c r="G6" s="5"/>
      <c r="H6" s="5"/>
      <c r="I6" s="5"/>
      <c r="J6" s="5"/>
      <c r="K6" s="2"/>
      <c r="L6" s="2"/>
      <c r="M6" s="2"/>
      <c r="N6" s="2"/>
      <c r="O6" s="2"/>
      <c r="P6" s="2"/>
    </row>
    <row r="7">
      <c r="A7" s="3" t="s">
        <v>5</v>
      </c>
      <c r="B7" s="6"/>
      <c r="C7" s="5"/>
      <c r="D7" s="5"/>
      <c r="E7" s="5"/>
      <c r="F7" s="5"/>
      <c r="G7" s="5"/>
      <c r="H7" s="5"/>
      <c r="I7" s="5"/>
      <c r="J7" s="5"/>
      <c r="K7" s="2"/>
      <c r="L7" s="2"/>
      <c r="M7" s="2"/>
      <c r="N7" s="2"/>
      <c r="O7" s="2"/>
      <c r="P7" s="2"/>
    </row>
    <row r="8">
      <c r="A8" s="3" t="s">
        <v>6</v>
      </c>
      <c r="B8" s="6"/>
      <c r="C8" s="5"/>
      <c r="D8" s="5"/>
      <c r="E8" s="5"/>
      <c r="F8" s="5"/>
      <c r="G8" s="5"/>
      <c r="H8" s="5"/>
      <c r="I8" s="5"/>
      <c r="J8" s="5"/>
      <c r="K8" s="2"/>
      <c r="L8" s="2"/>
      <c r="M8" s="2"/>
      <c r="N8" s="2"/>
      <c r="O8" s="2"/>
      <c r="P8" s="2"/>
    </row>
    <row r="9">
      <c r="A9" s="7" t="s">
        <v>7</v>
      </c>
      <c r="B9" s="6"/>
      <c r="C9" s="5"/>
      <c r="D9" s="5"/>
      <c r="E9" s="5"/>
      <c r="F9" s="5"/>
      <c r="G9" s="5"/>
      <c r="H9" s="5"/>
      <c r="I9" s="5"/>
      <c r="J9" s="5"/>
      <c r="K9" s="2"/>
      <c r="L9" s="2"/>
      <c r="M9" s="2"/>
      <c r="N9" s="2"/>
      <c r="O9" s="2"/>
      <c r="P9" s="2"/>
    </row>
    <row r="10">
      <c r="A10" s="7" t="s">
        <v>8</v>
      </c>
      <c r="B10" s="6"/>
      <c r="C10" s="5"/>
      <c r="D10" s="5"/>
      <c r="E10" s="5"/>
      <c r="F10" s="5"/>
      <c r="G10" s="5"/>
      <c r="H10" s="5"/>
      <c r="I10" s="5"/>
      <c r="J10" s="5"/>
      <c r="K10" s="2"/>
      <c r="L10" s="2"/>
      <c r="M10" s="2"/>
      <c r="N10" s="2"/>
      <c r="O10" s="2"/>
      <c r="P10" s="2"/>
    </row>
    <row r="11">
      <c r="A11" s="5" t="s">
        <v>9</v>
      </c>
      <c r="B11" s="6"/>
      <c r="C11" s="5"/>
      <c r="D11" s="5"/>
      <c r="E11" s="5"/>
      <c r="F11" s="5"/>
      <c r="G11" s="5"/>
      <c r="H11" s="5"/>
      <c r="I11" s="5"/>
      <c r="J11" s="5"/>
      <c r="K11" s="2"/>
      <c r="L11" s="2"/>
      <c r="M11" s="2"/>
      <c r="N11" s="2"/>
      <c r="O11" s="2"/>
      <c r="P11" s="2"/>
    </row>
    <row r="12">
      <c r="A12" s="5" t="s">
        <v>10</v>
      </c>
      <c r="B12" s="6"/>
      <c r="C12" s="5"/>
      <c r="D12" s="5"/>
      <c r="E12" s="5"/>
      <c r="F12" s="5"/>
      <c r="G12" s="5"/>
      <c r="H12" s="5"/>
      <c r="I12" s="5"/>
      <c r="J12" s="5"/>
      <c r="K12" s="2"/>
      <c r="L12" s="2"/>
      <c r="M12" s="2"/>
      <c r="N12" s="2"/>
      <c r="O12" s="2"/>
      <c r="P12" s="2"/>
    </row>
    <row r="13">
      <c r="A13" s="7" t="s">
        <v>11</v>
      </c>
      <c r="B13" s="8"/>
      <c r="C13" s="5"/>
      <c r="D13" s="5"/>
      <c r="E13" s="5"/>
      <c r="F13" s="5"/>
      <c r="G13" s="5"/>
      <c r="H13" s="5"/>
      <c r="I13" s="5"/>
      <c r="J13" s="5"/>
      <c r="K13" s="2"/>
      <c r="L13" s="2"/>
      <c r="M13" s="2"/>
      <c r="N13" s="2"/>
      <c r="O13" s="2"/>
      <c r="P13" s="2"/>
    </row>
    <row r="14">
      <c r="A14" s="5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2"/>
      <c r="L14" s="2"/>
      <c r="M14" s="2"/>
      <c r="N14" s="2"/>
      <c r="O14" s="2"/>
      <c r="P14" s="2"/>
    </row>
    <row r="15">
      <c r="A15" s="5" t="s">
        <v>13</v>
      </c>
      <c r="B15" s="4"/>
      <c r="C15" s="5"/>
      <c r="D15" s="5"/>
      <c r="E15" s="5"/>
      <c r="F15" s="5"/>
      <c r="G15" s="5"/>
      <c r="H15" s="5"/>
      <c r="I15" s="5"/>
      <c r="J15" s="5"/>
      <c r="K15" s="2"/>
      <c r="L15" s="2"/>
      <c r="M15" s="2"/>
      <c r="N15" s="2"/>
      <c r="O15" s="2"/>
      <c r="P15" s="2"/>
    </row>
    <row r="16">
      <c r="A16" s="7" t="s">
        <v>14</v>
      </c>
      <c r="B16" s="9"/>
      <c r="C16" s="5"/>
      <c r="D16" s="5"/>
      <c r="E16" s="5"/>
      <c r="F16" s="5"/>
      <c r="G16" s="5"/>
      <c r="H16" s="5"/>
      <c r="I16" s="5"/>
      <c r="J16" s="5"/>
      <c r="K16" s="2"/>
      <c r="L16" s="2"/>
      <c r="M16" s="2"/>
      <c r="N16" s="2"/>
      <c r="O16" s="2"/>
      <c r="P16" s="2"/>
    </row>
    <row r="17">
      <c r="A17" s="5" t="s">
        <v>15</v>
      </c>
      <c r="B17" s="6"/>
      <c r="C17" s="5"/>
      <c r="D17" s="5"/>
      <c r="E17" s="5"/>
      <c r="F17" s="5"/>
      <c r="G17" s="5"/>
      <c r="H17" s="5"/>
      <c r="I17" s="5"/>
      <c r="J17" s="5"/>
      <c r="K17" s="2"/>
      <c r="L17" s="2"/>
      <c r="M17" s="2"/>
      <c r="N17" s="2"/>
      <c r="O17" s="2"/>
      <c r="P17" s="2"/>
    </row>
    <row r="18">
      <c r="A18" s="5" t="s">
        <v>16</v>
      </c>
      <c r="B18" s="6"/>
      <c r="C18" s="5"/>
      <c r="D18" s="5"/>
      <c r="E18" s="5"/>
      <c r="F18" s="5"/>
      <c r="G18" s="5"/>
      <c r="H18" s="5"/>
      <c r="I18" s="5"/>
      <c r="J18" s="5"/>
      <c r="K18" s="2"/>
      <c r="L18" s="2"/>
      <c r="M18" s="2"/>
      <c r="N18" s="2"/>
      <c r="O18" s="2"/>
      <c r="P18" s="2"/>
    </row>
    <row r="19">
      <c r="A19" s="5" t="s">
        <v>17</v>
      </c>
      <c r="B19" s="10"/>
      <c r="C19" s="5"/>
      <c r="D19" s="5"/>
      <c r="E19" s="5"/>
      <c r="F19" s="5"/>
      <c r="G19" s="5"/>
      <c r="H19" s="5"/>
      <c r="I19" s="5"/>
      <c r="J19" s="5"/>
      <c r="K19" s="2"/>
      <c r="L19" s="2"/>
      <c r="M19" s="2"/>
      <c r="N19" s="2"/>
      <c r="O19" s="2"/>
      <c r="P19" s="2"/>
    </row>
    <row r="20">
      <c r="A20" s="7" t="s">
        <v>18</v>
      </c>
      <c r="B20" s="8"/>
      <c r="C20" s="5"/>
      <c r="D20" s="5"/>
      <c r="E20" s="5"/>
      <c r="F20" s="5"/>
      <c r="G20" s="5"/>
      <c r="H20" s="5"/>
      <c r="I20" s="5"/>
      <c r="J20" s="5"/>
      <c r="K20" s="2"/>
      <c r="L20" s="2"/>
      <c r="M20" s="2"/>
      <c r="N20" s="2"/>
      <c r="O20" s="2"/>
      <c r="P20" s="2"/>
    </row>
    <row r="21">
      <c r="A21" s="5" t="s">
        <v>19</v>
      </c>
      <c r="B21" s="6"/>
      <c r="C21" s="5"/>
      <c r="D21" s="5"/>
      <c r="E21" s="5"/>
      <c r="F21" s="5"/>
      <c r="G21" s="5"/>
      <c r="H21" s="5"/>
      <c r="I21" s="5"/>
      <c r="J21" s="5"/>
      <c r="K21" s="2"/>
      <c r="L21" s="2"/>
      <c r="M21" s="2"/>
      <c r="N21" s="2"/>
      <c r="O21" s="2"/>
      <c r="P21" s="2"/>
    </row>
    <row r="22">
      <c r="A22" s="5" t="s">
        <v>20</v>
      </c>
      <c r="B22" s="6"/>
      <c r="C22" s="5"/>
      <c r="D22" s="5"/>
      <c r="E22" s="5"/>
      <c r="F22" s="5"/>
      <c r="G22" s="5"/>
      <c r="H22" s="5"/>
      <c r="I22" s="5"/>
      <c r="J22" s="5"/>
      <c r="K22" s="2"/>
      <c r="L22" s="2"/>
      <c r="M22" s="2"/>
      <c r="N22" s="2"/>
      <c r="O22" s="2"/>
      <c r="P22" s="2"/>
    </row>
    <row r="23">
      <c r="A23" s="7" t="s">
        <v>21</v>
      </c>
      <c r="B23" s="11"/>
      <c r="C23" s="5"/>
      <c r="D23" s="5"/>
      <c r="E23" s="5"/>
      <c r="F23" s="5"/>
      <c r="G23" s="5"/>
      <c r="H23" s="5"/>
      <c r="I23" s="5"/>
      <c r="J23" s="5"/>
      <c r="K23" s="2"/>
      <c r="L23" s="2"/>
      <c r="M23" s="2"/>
      <c r="N23" s="2"/>
      <c r="O23" s="2"/>
      <c r="P23" s="2"/>
    </row>
    <row r="24">
      <c r="A24" s="5" t="s">
        <v>22</v>
      </c>
      <c r="B24" s="12"/>
      <c r="C24" s="5"/>
      <c r="D24" s="5"/>
      <c r="E24" s="5"/>
      <c r="F24" s="5"/>
      <c r="G24" s="5"/>
      <c r="H24" s="5"/>
      <c r="I24" s="5"/>
      <c r="J24" s="5"/>
      <c r="K24" s="2"/>
      <c r="L24" s="2"/>
      <c r="M24" s="2"/>
      <c r="N24" s="2"/>
      <c r="O24" s="2"/>
      <c r="P24" s="2"/>
    </row>
    <row r="25">
      <c r="A25" s="5" t="s">
        <v>23</v>
      </c>
      <c r="B25" s="6"/>
      <c r="C25" s="5"/>
      <c r="D25" s="5"/>
      <c r="E25" s="5"/>
      <c r="F25" s="5"/>
      <c r="G25" s="5"/>
      <c r="H25" s="5"/>
      <c r="I25" s="5"/>
      <c r="J25" s="5"/>
      <c r="K25" s="2"/>
      <c r="L25" s="2"/>
      <c r="M25" s="2"/>
      <c r="N25" s="2"/>
      <c r="O25" s="2"/>
      <c r="P25" s="2"/>
    </row>
    <row r="26">
      <c r="A26" s="7" t="s">
        <v>24</v>
      </c>
      <c r="B26" s="8"/>
      <c r="C26" s="13"/>
      <c r="D26" s="5"/>
      <c r="E26" s="5"/>
      <c r="F26" s="5"/>
      <c r="G26" s="5"/>
      <c r="H26" s="5"/>
      <c r="I26" s="5"/>
      <c r="J26" s="5"/>
      <c r="K26" s="2"/>
      <c r="L26" s="2"/>
      <c r="M26" s="2"/>
      <c r="N26" s="2"/>
      <c r="O26" s="2"/>
      <c r="P26" s="2"/>
    </row>
    <row r="27">
      <c r="A27" s="5" t="s">
        <v>25</v>
      </c>
      <c r="B27" s="14"/>
      <c r="C27" s="5"/>
      <c r="D27" s="5"/>
      <c r="E27" s="5"/>
      <c r="F27" s="5"/>
      <c r="G27" s="5"/>
      <c r="H27" s="5"/>
      <c r="I27" s="5"/>
      <c r="J27" s="5"/>
      <c r="K27" s="2"/>
      <c r="L27" s="2"/>
      <c r="M27" s="2"/>
      <c r="N27" s="2"/>
      <c r="O27" s="2"/>
      <c r="P27" s="2"/>
    </row>
    <row r="28">
      <c r="A28" s="5" t="s">
        <v>26</v>
      </c>
      <c r="B28" s="12"/>
      <c r="C28" s="5"/>
      <c r="D28" s="5"/>
      <c r="E28" s="5"/>
      <c r="F28" s="5"/>
      <c r="G28" s="5"/>
      <c r="H28" s="5"/>
      <c r="I28" s="5"/>
      <c r="J28" s="5"/>
      <c r="K28" s="2"/>
      <c r="L28" s="2"/>
      <c r="M28" s="2"/>
      <c r="N28" s="2"/>
      <c r="O28" s="2"/>
      <c r="P28" s="2"/>
    </row>
    <row r="29">
      <c r="A29" s="5" t="s">
        <v>27</v>
      </c>
      <c r="B29" s="6"/>
      <c r="C29" s="5"/>
      <c r="D29" s="5"/>
      <c r="E29" s="5"/>
      <c r="F29" s="5"/>
      <c r="G29" s="5"/>
      <c r="H29" s="5"/>
      <c r="I29" s="5"/>
      <c r="J29" s="5"/>
      <c r="K29" s="2"/>
      <c r="L29" s="2"/>
      <c r="M29" s="2"/>
      <c r="N29" s="2"/>
      <c r="O29" s="2"/>
      <c r="P29" s="2"/>
    </row>
    <row r="30">
      <c r="A30" s="7" t="s">
        <v>28</v>
      </c>
      <c r="B30" s="15"/>
      <c r="C30" s="13"/>
      <c r="D30" s="5"/>
      <c r="E30" s="5"/>
      <c r="F30" s="5"/>
      <c r="G30" s="5"/>
      <c r="H30" s="5"/>
      <c r="I30" s="5"/>
      <c r="J30" s="5"/>
      <c r="K30" s="2"/>
      <c r="L30" s="2"/>
      <c r="M30" s="2"/>
      <c r="N30" s="2"/>
      <c r="O30" s="2"/>
      <c r="P30" s="2"/>
    </row>
    <row r="31">
      <c r="A31" s="5" t="s">
        <v>29</v>
      </c>
      <c r="B31" s="4"/>
      <c r="C31" s="5"/>
      <c r="D31" s="5"/>
      <c r="E31" s="5"/>
      <c r="F31" s="5"/>
      <c r="G31" s="5"/>
      <c r="H31" s="5"/>
      <c r="I31" s="5"/>
      <c r="J31" s="5"/>
      <c r="K31" s="2"/>
      <c r="L31" s="2"/>
      <c r="M31" s="2"/>
      <c r="N31" s="2"/>
      <c r="O31" s="2"/>
      <c r="P31" s="2"/>
    </row>
    <row r="32">
      <c r="A32" s="5" t="s">
        <v>30</v>
      </c>
      <c r="B32" s="6"/>
      <c r="C32" s="5"/>
      <c r="D32" s="5"/>
      <c r="E32" s="5"/>
      <c r="F32" s="5"/>
      <c r="G32" s="5"/>
      <c r="H32" s="5"/>
      <c r="I32" s="5"/>
      <c r="J32" s="5"/>
      <c r="K32" s="2"/>
      <c r="L32" s="2"/>
      <c r="M32" s="2"/>
      <c r="N32" s="2"/>
      <c r="O32" s="2"/>
      <c r="P32" s="2"/>
    </row>
    <row r="33">
      <c r="A33" s="7" t="s">
        <v>31</v>
      </c>
      <c r="B33" s="8"/>
      <c r="C33" s="13"/>
      <c r="D33" s="5"/>
      <c r="E33" s="5"/>
      <c r="F33" s="5"/>
      <c r="G33" s="5"/>
      <c r="H33" s="5"/>
      <c r="I33" s="5"/>
      <c r="J33" s="5"/>
      <c r="K33" s="2"/>
      <c r="L33" s="2"/>
      <c r="M33" s="2"/>
      <c r="N33" s="2"/>
      <c r="O33" s="2"/>
      <c r="P33" s="2"/>
    </row>
    <row r="34">
      <c r="A34" s="5" t="s">
        <v>32</v>
      </c>
      <c r="B34" s="6"/>
      <c r="C34" s="5"/>
      <c r="D34" s="5"/>
      <c r="E34" s="5"/>
      <c r="F34" s="5"/>
      <c r="G34" s="5"/>
      <c r="H34" s="5"/>
      <c r="I34" s="2"/>
      <c r="J34" s="5"/>
      <c r="K34" s="2"/>
      <c r="L34" s="2"/>
      <c r="M34" s="2"/>
      <c r="N34" s="2"/>
      <c r="O34" s="2"/>
      <c r="P34" s="2"/>
    </row>
    <row r="35">
      <c r="A35" s="5" t="s">
        <v>33</v>
      </c>
      <c r="B35" s="6"/>
      <c r="C35" s="5"/>
      <c r="D35" s="5"/>
      <c r="E35" s="5"/>
      <c r="F35" s="5"/>
      <c r="G35" s="5"/>
      <c r="H35" s="5"/>
      <c r="I35" s="5"/>
      <c r="J35" s="5"/>
      <c r="K35" s="2"/>
      <c r="L35" s="2"/>
      <c r="M35" s="2"/>
      <c r="N35" s="2"/>
      <c r="O35" s="2"/>
      <c r="P35" s="2"/>
    </row>
    <row r="36">
      <c r="A36" s="7" t="s">
        <v>34</v>
      </c>
      <c r="B36" s="15"/>
      <c r="C36" s="13"/>
      <c r="D36" s="5"/>
      <c r="E36" s="5"/>
      <c r="F36" s="5"/>
      <c r="G36" s="5"/>
      <c r="H36" s="5"/>
      <c r="I36" s="5"/>
      <c r="J36" s="5"/>
      <c r="K36" s="2"/>
      <c r="L36" s="2"/>
      <c r="M36" s="2"/>
      <c r="N36" s="2"/>
      <c r="O36" s="2"/>
      <c r="P36" s="2"/>
    </row>
    <row r="37">
      <c r="A37" s="5" t="s">
        <v>35</v>
      </c>
      <c r="B37" s="4"/>
      <c r="C37" s="5"/>
      <c r="D37" s="5"/>
      <c r="E37" s="5"/>
      <c r="F37" s="5"/>
      <c r="G37" s="5"/>
      <c r="H37" s="5"/>
      <c r="I37" s="5"/>
      <c r="J37" s="5"/>
      <c r="K37" s="2"/>
      <c r="L37" s="2"/>
      <c r="M37" s="2"/>
      <c r="N37" s="2"/>
      <c r="O37" s="2"/>
      <c r="P37" s="2"/>
    </row>
    <row r="38">
      <c r="A38" s="7" t="s">
        <v>36</v>
      </c>
      <c r="B38" s="8"/>
      <c r="C38" s="13"/>
      <c r="D38" s="5"/>
      <c r="E38" s="5"/>
      <c r="F38" s="5"/>
      <c r="G38" s="5"/>
      <c r="H38" s="5"/>
      <c r="I38" s="5"/>
      <c r="J38" s="5"/>
      <c r="K38" s="2"/>
      <c r="L38" s="2"/>
      <c r="M38" s="2"/>
      <c r="N38" s="2"/>
      <c r="O38" s="2"/>
      <c r="P38" s="2"/>
    </row>
    <row r="39">
      <c r="A39" s="5" t="s">
        <v>37</v>
      </c>
      <c r="B39" s="6"/>
      <c r="C39" s="5"/>
      <c r="D39" s="5"/>
      <c r="E39" s="5"/>
      <c r="F39" s="5"/>
      <c r="G39" s="5"/>
      <c r="H39" s="5"/>
      <c r="I39" s="5"/>
      <c r="J39" s="5"/>
      <c r="K39" s="2"/>
      <c r="L39" s="2"/>
      <c r="M39" s="2"/>
      <c r="N39" s="2"/>
      <c r="O39" s="2"/>
      <c r="P39" s="2"/>
    </row>
    <row r="40">
      <c r="A40" s="7" t="s">
        <v>38</v>
      </c>
      <c r="B40" s="8"/>
      <c r="C40" s="13"/>
      <c r="D40" s="5"/>
      <c r="E40" s="5"/>
      <c r="F40" s="5"/>
      <c r="G40" s="5"/>
      <c r="H40" s="5"/>
      <c r="I40" s="2"/>
      <c r="J40" s="5"/>
      <c r="K40" s="2"/>
      <c r="L40" s="2"/>
      <c r="M40" s="2"/>
      <c r="N40" s="2"/>
      <c r="O40" s="2"/>
      <c r="P40" s="2"/>
    </row>
    <row r="41">
      <c r="A41" s="5" t="s">
        <v>39</v>
      </c>
      <c r="B41" s="6"/>
      <c r="C41" s="5"/>
      <c r="D41" s="16" t="s">
        <v>40</v>
      </c>
      <c r="E41" s="5"/>
      <c r="F41" s="5"/>
      <c r="G41" s="5"/>
      <c r="H41" s="5"/>
      <c r="I41" s="5"/>
      <c r="J41" s="5"/>
      <c r="K41" s="2"/>
      <c r="L41" s="2"/>
      <c r="M41" s="2"/>
      <c r="N41" s="2"/>
      <c r="O41" s="2"/>
      <c r="P41" s="2"/>
    </row>
    <row r="42">
      <c r="A42" s="5" t="s">
        <v>41</v>
      </c>
      <c r="B42" s="12"/>
      <c r="C42" s="5"/>
      <c r="D42" s="5"/>
      <c r="E42" s="5"/>
      <c r="F42" s="5"/>
      <c r="G42" s="5"/>
      <c r="H42" s="5"/>
      <c r="I42" s="5"/>
      <c r="J42" s="5"/>
      <c r="K42" s="2"/>
      <c r="L42" s="2"/>
      <c r="M42" s="2"/>
      <c r="N42" s="2"/>
      <c r="O42" s="2"/>
      <c r="P42" s="2"/>
    </row>
    <row r="43">
      <c r="A43" s="5" t="s">
        <v>42</v>
      </c>
      <c r="B43" s="4"/>
      <c r="C43" s="5"/>
      <c r="D43" s="5"/>
      <c r="E43" s="5"/>
      <c r="F43" s="5"/>
      <c r="G43" s="5"/>
      <c r="H43" s="5"/>
      <c r="I43" s="2"/>
      <c r="J43" s="5"/>
      <c r="K43" s="2"/>
      <c r="L43" s="2"/>
      <c r="M43" s="2"/>
      <c r="N43" s="2"/>
      <c r="O43" s="2"/>
      <c r="P43" s="2"/>
    </row>
    <row r="44">
      <c r="A44" s="5"/>
      <c r="B44" s="6"/>
      <c r="C44" s="5"/>
      <c r="D44" s="5"/>
      <c r="E44" s="5"/>
      <c r="F44" s="5"/>
      <c r="G44" s="5"/>
      <c r="H44" s="5"/>
      <c r="I44" s="2"/>
      <c r="J44" s="5"/>
      <c r="K44" s="2"/>
      <c r="L44" s="2"/>
      <c r="M44" s="2"/>
      <c r="N44" s="2"/>
      <c r="O44" s="2"/>
      <c r="P44" s="2"/>
    </row>
    <row r="45">
      <c r="A45" s="3" t="s">
        <v>43</v>
      </c>
      <c r="B45" s="4"/>
      <c r="C45" s="5"/>
      <c r="D45" s="5"/>
      <c r="E45" s="5"/>
      <c r="F45" s="5"/>
      <c r="G45" s="5"/>
      <c r="H45" s="5"/>
      <c r="I45" s="5"/>
      <c r="J45" s="5"/>
      <c r="K45" s="2"/>
      <c r="L45" s="2"/>
      <c r="M45" s="2"/>
      <c r="N45" s="2"/>
      <c r="O45" s="2"/>
      <c r="P45" s="2"/>
    </row>
    <row r="46">
      <c r="A46" s="5" t="s">
        <v>44</v>
      </c>
      <c r="B46" s="6"/>
      <c r="C46" s="5"/>
      <c r="D46" s="5"/>
      <c r="E46" s="5"/>
      <c r="F46" s="5"/>
      <c r="G46" s="5"/>
      <c r="H46" s="5"/>
      <c r="I46" s="5"/>
      <c r="J46" s="5"/>
      <c r="K46" s="2"/>
      <c r="L46" s="2"/>
      <c r="M46" s="2"/>
      <c r="N46" s="2"/>
      <c r="O46" s="2"/>
      <c r="P46" s="2"/>
    </row>
    <row r="47">
      <c r="A47" s="5" t="s">
        <v>45</v>
      </c>
      <c r="B47" s="4"/>
      <c r="C47" s="5"/>
      <c r="D47" s="5"/>
      <c r="E47" s="5"/>
      <c r="F47" s="5"/>
      <c r="G47" s="5"/>
      <c r="H47" s="5"/>
      <c r="I47" s="5"/>
      <c r="J47" s="5"/>
      <c r="K47" s="2"/>
      <c r="L47" s="2"/>
      <c r="M47" s="2"/>
      <c r="N47" s="2"/>
      <c r="O47" s="2"/>
      <c r="P47" s="2"/>
    </row>
    <row r="48">
      <c r="A48" s="5" t="s">
        <v>46</v>
      </c>
      <c r="B48" s="12"/>
      <c r="C48" s="5"/>
      <c r="D48" s="5"/>
      <c r="E48" s="5"/>
      <c r="F48" s="5"/>
      <c r="G48" s="5"/>
      <c r="H48" s="5"/>
      <c r="I48" s="5"/>
      <c r="J48" s="5"/>
      <c r="K48" s="2"/>
      <c r="L48" s="2"/>
      <c r="M48" s="2"/>
      <c r="N48" s="2"/>
      <c r="O48" s="2"/>
      <c r="P48" s="2"/>
    </row>
    <row r="49">
      <c r="A49" s="5" t="s">
        <v>47</v>
      </c>
      <c r="B49" s="6"/>
      <c r="C49" s="5"/>
      <c r="D49" s="5"/>
      <c r="E49" s="5"/>
      <c r="F49" s="5"/>
      <c r="G49" s="5"/>
      <c r="H49" s="5"/>
      <c r="I49" s="5"/>
      <c r="J49" s="5"/>
      <c r="K49" s="2"/>
      <c r="L49" s="2"/>
      <c r="M49" s="2"/>
      <c r="N49" s="2"/>
      <c r="O49" s="2"/>
      <c r="P49" s="2"/>
    </row>
    <row r="50">
      <c r="A50" s="5" t="s">
        <v>48</v>
      </c>
      <c r="B50" s="6"/>
      <c r="C50" s="5"/>
      <c r="D50" s="5"/>
      <c r="E50" s="5"/>
      <c r="F50" s="5"/>
      <c r="G50" s="5"/>
      <c r="H50" s="5"/>
      <c r="I50" s="5"/>
      <c r="J50" s="5"/>
      <c r="K50" s="2"/>
      <c r="L50" s="2"/>
      <c r="M50" s="2"/>
      <c r="N50" s="2"/>
      <c r="O50" s="2"/>
      <c r="P50" s="2"/>
    </row>
    <row r="51">
      <c r="A51" s="5"/>
      <c r="B51" s="4"/>
      <c r="C51" s="5"/>
      <c r="D51" s="5"/>
      <c r="E51" s="5"/>
      <c r="F51" s="5"/>
      <c r="G51" s="5"/>
      <c r="H51" s="5"/>
      <c r="I51" s="5"/>
      <c r="J51" s="5"/>
      <c r="K51" s="2"/>
      <c r="L51" s="2"/>
      <c r="M51" s="2"/>
      <c r="N51" s="2"/>
      <c r="O51" s="2"/>
      <c r="P51" s="2"/>
    </row>
    <row r="52">
      <c r="A52" s="17" t="s">
        <v>49</v>
      </c>
      <c r="B52" s="18" t="s">
        <v>50</v>
      </c>
      <c r="C52" s="17" t="s">
        <v>51</v>
      </c>
      <c r="D52" s="17" t="s">
        <v>52</v>
      </c>
      <c r="E52" s="17" t="s">
        <v>53</v>
      </c>
      <c r="F52" s="17" t="s">
        <v>54</v>
      </c>
      <c r="G52" s="17" t="s">
        <v>55</v>
      </c>
      <c r="H52" s="17" t="s">
        <v>56</v>
      </c>
      <c r="I52" s="17" t="s">
        <v>57</v>
      </c>
      <c r="J52" s="17" t="s">
        <v>58</v>
      </c>
      <c r="K52" s="2"/>
      <c r="L52" s="2"/>
      <c r="M52" s="2"/>
      <c r="N52" s="2"/>
      <c r="O52" s="2"/>
      <c r="P52" s="2"/>
    </row>
    <row r="53">
      <c r="A53" s="19">
        <v>301.0</v>
      </c>
      <c r="B53" s="20">
        <v>45662.0</v>
      </c>
      <c r="C53" s="5" t="s">
        <v>59</v>
      </c>
      <c r="D53" s="5" t="s">
        <v>60</v>
      </c>
      <c r="E53" s="5" t="s">
        <v>61</v>
      </c>
      <c r="F53" s="5" t="s">
        <v>62</v>
      </c>
      <c r="G53" s="19">
        <v>2.0</v>
      </c>
      <c r="H53" s="19">
        <v>450.0</v>
      </c>
      <c r="I53" s="19">
        <v>900.0</v>
      </c>
      <c r="J53" s="5" t="s">
        <v>63</v>
      </c>
      <c r="K53" s="2"/>
      <c r="L53" s="2"/>
      <c r="M53" s="2"/>
      <c r="N53" s="2"/>
      <c r="O53" s="2"/>
      <c r="P53" s="2"/>
    </row>
    <row r="54">
      <c r="A54" s="19">
        <v>302.0</v>
      </c>
      <c r="B54" s="21">
        <v>45663.0</v>
      </c>
      <c r="C54" s="5" t="s">
        <v>64</v>
      </c>
      <c r="D54" s="5" t="s">
        <v>65</v>
      </c>
      <c r="E54" s="5" t="s">
        <v>66</v>
      </c>
      <c r="F54" s="5" t="s">
        <v>67</v>
      </c>
      <c r="G54" s="19">
        <v>1.0</v>
      </c>
      <c r="H54" s="19">
        <v>700.0</v>
      </c>
      <c r="I54" s="19">
        <v>700.0</v>
      </c>
      <c r="J54" s="5" t="s">
        <v>68</v>
      </c>
      <c r="K54" s="2"/>
      <c r="L54" s="2"/>
      <c r="M54" s="2"/>
      <c r="N54" s="2"/>
      <c r="O54" s="2"/>
      <c r="P54" s="2"/>
    </row>
    <row r="55">
      <c r="A55" s="19">
        <v>303.0</v>
      </c>
      <c r="B55" s="21">
        <v>45663.0</v>
      </c>
      <c r="C55" s="5" t="s">
        <v>69</v>
      </c>
      <c r="D55" s="5" t="s">
        <v>70</v>
      </c>
      <c r="E55" s="5" t="s">
        <v>71</v>
      </c>
      <c r="F55" s="5" t="s">
        <v>62</v>
      </c>
      <c r="G55" s="5" t="s">
        <v>72</v>
      </c>
      <c r="H55" s="19">
        <v>650.0</v>
      </c>
      <c r="I55" s="19">
        <v>1950.0</v>
      </c>
      <c r="J55" s="5" t="s">
        <v>73</v>
      </c>
      <c r="K55" s="2"/>
      <c r="L55" s="2"/>
      <c r="M55" s="2"/>
      <c r="N55" s="2"/>
      <c r="O55" s="2"/>
      <c r="P55" s="2"/>
    </row>
    <row r="56">
      <c r="A56" s="19">
        <v>304.0</v>
      </c>
      <c r="B56" s="21">
        <v>45664.0</v>
      </c>
      <c r="C56" s="5" t="s">
        <v>74</v>
      </c>
      <c r="D56" s="5" t="s">
        <v>75</v>
      </c>
      <c r="E56" s="5" t="s">
        <v>76</v>
      </c>
      <c r="F56" s="5" t="s">
        <v>77</v>
      </c>
      <c r="G56" s="19">
        <v>2.0</v>
      </c>
      <c r="H56" s="19">
        <v>550.0</v>
      </c>
      <c r="I56" s="5"/>
      <c r="J56" s="5" t="s">
        <v>63</v>
      </c>
      <c r="K56" s="2"/>
      <c r="L56" s="2"/>
      <c r="M56" s="2"/>
      <c r="N56" s="2"/>
      <c r="O56" s="2"/>
      <c r="P56" s="2"/>
    </row>
    <row r="57">
      <c r="A57" s="19">
        <v>305.0</v>
      </c>
      <c r="B57" s="21">
        <v>45664.0</v>
      </c>
      <c r="C57" s="5" t="s">
        <v>78</v>
      </c>
      <c r="D57" s="5" t="s">
        <v>79</v>
      </c>
      <c r="E57" s="5" t="s">
        <v>80</v>
      </c>
      <c r="F57" s="5" t="s">
        <v>62</v>
      </c>
      <c r="G57" s="19">
        <v>1.0</v>
      </c>
      <c r="H57" s="19">
        <v>800.0</v>
      </c>
      <c r="I57" s="19">
        <v>800.0</v>
      </c>
      <c r="J57" s="5" t="s">
        <v>81</v>
      </c>
      <c r="K57" s="2"/>
      <c r="L57" s="2"/>
      <c r="M57" s="2"/>
      <c r="N57" s="2"/>
      <c r="O57" s="2"/>
      <c r="P57" s="2"/>
    </row>
    <row r="58">
      <c r="A58" s="19">
        <v>306.0</v>
      </c>
      <c r="B58" s="21">
        <v>45664.0</v>
      </c>
      <c r="C58" s="5" t="s">
        <v>82</v>
      </c>
      <c r="D58" s="5" t="s">
        <v>83</v>
      </c>
      <c r="E58" s="5" t="s">
        <v>84</v>
      </c>
      <c r="F58" s="5" t="s">
        <v>85</v>
      </c>
      <c r="G58" s="19">
        <v>3.0</v>
      </c>
      <c r="H58" s="19">
        <v>250.0</v>
      </c>
      <c r="I58" s="19">
        <v>750.0</v>
      </c>
      <c r="J58" s="5" t="s">
        <v>73</v>
      </c>
      <c r="K58" s="2"/>
      <c r="L58" s="2"/>
      <c r="M58" s="2"/>
      <c r="N58" s="2"/>
      <c r="O58" s="2"/>
      <c r="P58" s="2"/>
    </row>
    <row r="59">
      <c r="A59" s="19">
        <v>307.0</v>
      </c>
      <c r="B59" s="21">
        <v>45665.0</v>
      </c>
      <c r="C59" s="5" t="s">
        <v>86</v>
      </c>
      <c r="D59" s="5" t="s">
        <v>87</v>
      </c>
      <c r="E59" s="5" t="s">
        <v>88</v>
      </c>
      <c r="F59" s="5" t="s">
        <v>85</v>
      </c>
      <c r="G59" s="19">
        <v>4.0</v>
      </c>
      <c r="H59" s="19">
        <v>180.0</v>
      </c>
      <c r="I59" s="5" t="s">
        <v>89</v>
      </c>
      <c r="J59" s="5" t="s">
        <v>63</v>
      </c>
      <c r="K59" s="2"/>
      <c r="L59" s="2"/>
      <c r="M59" s="2"/>
      <c r="N59" s="2"/>
      <c r="O59" s="2"/>
      <c r="P59" s="2"/>
    </row>
    <row r="60">
      <c r="A60" s="19">
        <v>308.0</v>
      </c>
      <c r="B60" s="21">
        <v>45665.0</v>
      </c>
      <c r="C60" s="5"/>
      <c r="D60" s="5" t="s">
        <v>90</v>
      </c>
      <c r="E60" s="5" t="s">
        <v>91</v>
      </c>
      <c r="F60" s="5" t="s">
        <v>85</v>
      </c>
      <c r="G60" s="19">
        <v>2.0</v>
      </c>
      <c r="H60" s="19">
        <v>300.0</v>
      </c>
      <c r="I60" s="19">
        <v>600.0</v>
      </c>
      <c r="J60" s="5" t="s">
        <v>92</v>
      </c>
      <c r="K60" s="2"/>
      <c r="L60" s="2"/>
      <c r="M60" s="2"/>
      <c r="N60" s="2"/>
      <c r="O60" s="2"/>
      <c r="P60" s="2"/>
    </row>
    <row r="61">
      <c r="A61" s="19">
        <v>309.0</v>
      </c>
      <c r="B61" s="21">
        <v>45666.0</v>
      </c>
      <c r="C61" s="5" t="s">
        <v>93</v>
      </c>
      <c r="D61" s="5" t="s">
        <v>75</v>
      </c>
      <c r="E61" s="5" t="s">
        <v>94</v>
      </c>
      <c r="F61" s="5" t="s">
        <v>85</v>
      </c>
      <c r="G61" s="19">
        <v>3.0</v>
      </c>
      <c r="H61" s="19">
        <v>200.0</v>
      </c>
      <c r="I61" s="19">
        <v>600.0</v>
      </c>
      <c r="J61" s="5" t="s">
        <v>63</v>
      </c>
      <c r="K61" s="2"/>
      <c r="L61" s="2"/>
      <c r="M61" s="2"/>
      <c r="N61" s="2"/>
      <c r="O61" s="2"/>
      <c r="P61" s="2"/>
    </row>
    <row r="62">
      <c r="A62" s="19">
        <v>310.0</v>
      </c>
      <c r="B62" s="21">
        <v>45666.0</v>
      </c>
      <c r="C62" s="5" t="s">
        <v>95</v>
      </c>
      <c r="D62" s="5" t="s">
        <v>79</v>
      </c>
      <c r="E62" s="5" t="s">
        <v>96</v>
      </c>
      <c r="F62" s="5" t="s">
        <v>85</v>
      </c>
      <c r="G62" s="19">
        <v>2.0</v>
      </c>
      <c r="H62" s="19">
        <v>350.0</v>
      </c>
      <c r="I62" s="19">
        <v>700.0</v>
      </c>
      <c r="J62" s="5" t="s">
        <v>68</v>
      </c>
      <c r="K62" s="2"/>
      <c r="L62" s="2"/>
      <c r="M62" s="2"/>
      <c r="N62" s="2"/>
      <c r="O62" s="2"/>
      <c r="P62" s="2"/>
    </row>
    <row r="63">
      <c r="A63" s="19">
        <v>311.0</v>
      </c>
      <c r="B63" s="20">
        <v>45666.0</v>
      </c>
      <c r="C63" s="5" t="s">
        <v>95</v>
      </c>
      <c r="D63" s="5" t="s">
        <v>79</v>
      </c>
      <c r="E63" s="5" t="s">
        <v>96</v>
      </c>
      <c r="F63" s="5" t="s">
        <v>85</v>
      </c>
      <c r="G63" s="19">
        <v>2.0</v>
      </c>
      <c r="H63" s="19">
        <v>350.0</v>
      </c>
      <c r="I63" s="19">
        <v>700.0</v>
      </c>
      <c r="J63" s="5" t="s">
        <v>68</v>
      </c>
      <c r="K63" s="2"/>
      <c r="L63" s="2"/>
      <c r="M63" s="2"/>
      <c r="N63" s="2"/>
      <c r="O63" s="2"/>
      <c r="P63" s="2"/>
    </row>
    <row r="64">
      <c r="A64" s="19">
        <v>312.0</v>
      </c>
      <c r="B64" s="22">
        <v>45667.0</v>
      </c>
      <c r="C64" s="5" t="s">
        <v>97</v>
      </c>
      <c r="D64" s="5" t="s">
        <v>83</v>
      </c>
      <c r="E64" s="5" t="s">
        <v>98</v>
      </c>
      <c r="F64" s="5" t="s">
        <v>62</v>
      </c>
      <c r="G64" s="19">
        <v>1.0</v>
      </c>
      <c r="H64" s="19">
        <v>600.0</v>
      </c>
      <c r="I64" s="19">
        <v>600.0</v>
      </c>
      <c r="J64" s="5" t="s">
        <v>99</v>
      </c>
      <c r="K64" s="2"/>
      <c r="L64" s="2"/>
      <c r="M64" s="2"/>
      <c r="N64" s="2"/>
      <c r="O64" s="2"/>
      <c r="P64" s="2"/>
    </row>
    <row r="65">
      <c r="A65" s="19">
        <v>313.0</v>
      </c>
      <c r="B65" s="21">
        <v>45667.0</v>
      </c>
      <c r="C65" s="5" t="s">
        <v>100</v>
      </c>
      <c r="D65" s="5" t="s">
        <v>87</v>
      </c>
      <c r="E65" s="5" t="s">
        <v>101</v>
      </c>
      <c r="F65" s="5" t="s">
        <v>62</v>
      </c>
      <c r="G65" s="19">
        <v>2.0</v>
      </c>
      <c r="H65" s="19">
        <v>400.0</v>
      </c>
      <c r="I65" s="19">
        <v>800.0</v>
      </c>
      <c r="J65" s="5" t="s">
        <v>73</v>
      </c>
      <c r="K65" s="2"/>
      <c r="L65" s="2"/>
      <c r="M65" s="2"/>
      <c r="N65" s="2"/>
      <c r="O65" s="2"/>
      <c r="P65" s="2"/>
    </row>
    <row r="66">
      <c r="A66" s="19">
        <v>314.0</v>
      </c>
      <c r="B66" s="21">
        <v>45667.0</v>
      </c>
      <c r="C66" s="5" t="s">
        <v>102</v>
      </c>
      <c r="D66" s="5" t="s">
        <v>70</v>
      </c>
      <c r="E66" s="5" t="s">
        <v>103</v>
      </c>
      <c r="F66" s="5" t="s">
        <v>104</v>
      </c>
      <c r="G66" s="19">
        <v>2.0</v>
      </c>
      <c r="H66" s="19">
        <v>350.0</v>
      </c>
      <c r="I66" s="19">
        <v>700.0</v>
      </c>
      <c r="J66" s="5" t="s">
        <v>105</v>
      </c>
      <c r="K66" s="2"/>
      <c r="L66" s="2"/>
      <c r="M66" s="2"/>
      <c r="N66" s="2"/>
      <c r="O66" s="2"/>
      <c r="P66" s="2"/>
    </row>
    <row r="67">
      <c r="A67" s="19">
        <v>315.0</v>
      </c>
      <c r="B67" s="23">
        <v>45668.0</v>
      </c>
      <c r="C67" s="5" t="s">
        <v>106</v>
      </c>
      <c r="D67" s="5" t="s">
        <v>75</v>
      </c>
      <c r="E67" s="5" t="s">
        <v>107</v>
      </c>
      <c r="F67" s="5" t="s">
        <v>62</v>
      </c>
      <c r="G67" s="5"/>
      <c r="H67" s="19">
        <v>750.0</v>
      </c>
      <c r="I67" s="19">
        <v>1500.0</v>
      </c>
      <c r="J67" s="5" t="s">
        <v>63</v>
      </c>
      <c r="K67" s="2"/>
      <c r="L67" s="2"/>
      <c r="M67" s="2"/>
      <c r="N67" s="2"/>
      <c r="O67" s="2"/>
      <c r="P67" s="2"/>
    </row>
    <row r="68">
      <c r="A68" s="19">
        <v>316.0</v>
      </c>
      <c r="B68" s="21">
        <v>45668.0</v>
      </c>
      <c r="C68" s="5" t="s">
        <v>108</v>
      </c>
      <c r="D68" s="5" t="s">
        <v>109</v>
      </c>
      <c r="E68" s="5" t="s">
        <v>110</v>
      </c>
      <c r="F68" s="16" t="s">
        <v>111</v>
      </c>
      <c r="G68" s="19">
        <v>1.0</v>
      </c>
      <c r="H68" s="19">
        <v>850.0</v>
      </c>
      <c r="I68" s="19">
        <v>850.0</v>
      </c>
      <c r="J68" s="5" t="s">
        <v>112</v>
      </c>
      <c r="K68" s="2"/>
      <c r="L68" s="2"/>
      <c r="M68" s="2"/>
      <c r="N68" s="2"/>
      <c r="O68" s="2"/>
      <c r="P68" s="2"/>
    </row>
    <row r="69">
      <c r="A69" s="19">
        <v>317.0</v>
      </c>
      <c r="B69" s="21">
        <v>45962.0</v>
      </c>
      <c r="C69" s="5" t="s">
        <v>113</v>
      </c>
      <c r="D69" s="5" t="s">
        <v>60</v>
      </c>
      <c r="E69" s="5" t="s">
        <v>114</v>
      </c>
      <c r="F69" s="5" t="s">
        <v>77</v>
      </c>
      <c r="G69" s="19">
        <v>3.0</v>
      </c>
      <c r="H69" s="19">
        <v>500.0</v>
      </c>
      <c r="I69" s="19">
        <v>1500.0</v>
      </c>
      <c r="J69" s="5" t="s">
        <v>63</v>
      </c>
      <c r="K69" s="2"/>
      <c r="L69" s="2"/>
      <c r="M69" s="2"/>
      <c r="N69" s="2"/>
      <c r="O69" s="2"/>
      <c r="P69" s="2"/>
    </row>
    <row r="70">
      <c r="A70" s="19">
        <v>318.0</v>
      </c>
      <c r="B70" s="21">
        <v>45668.0</v>
      </c>
      <c r="C70" s="5" t="s">
        <v>115</v>
      </c>
      <c r="D70" s="5" t="s">
        <v>116</v>
      </c>
      <c r="E70" s="5" t="s">
        <v>117</v>
      </c>
      <c r="F70" s="5" t="s">
        <v>118</v>
      </c>
      <c r="G70" s="19">
        <v>2.0</v>
      </c>
      <c r="H70" s="19">
        <v>550.0</v>
      </c>
      <c r="I70" s="5"/>
      <c r="J70" s="5" t="s">
        <v>68</v>
      </c>
      <c r="K70" s="2"/>
      <c r="L70" s="2"/>
      <c r="M70" s="2"/>
      <c r="N70" s="2"/>
      <c r="O70" s="2"/>
      <c r="P70" s="2"/>
    </row>
    <row r="71">
      <c r="A71" s="19">
        <v>319.0</v>
      </c>
      <c r="B71" s="20">
        <v>45669.0</v>
      </c>
      <c r="C71" s="5" t="s">
        <v>119</v>
      </c>
      <c r="D71" s="5" t="s">
        <v>70</v>
      </c>
      <c r="E71" s="5" t="s">
        <v>120</v>
      </c>
      <c r="F71" s="5" t="s">
        <v>85</v>
      </c>
      <c r="G71" s="19">
        <v>4.0</v>
      </c>
      <c r="H71" s="19">
        <v>120.0</v>
      </c>
      <c r="I71" s="19">
        <v>480.0</v>
      </c>
      <c r="J71" s="5" t="s">
        <v>99</v>
      </c>
      <c r="K71" s="2"/>
      <c r="L71" s="2"/>
      <c r="M71" s="2"/>
      <c r="N71" s="2"/>
      <c r="O71" s="2"/>
      <c r="P71" s="2"/>
    </row>
    <row r="72">
      <c r="A72" s="19">
        <v>320.0</v>
      </c>
      <c r="B72" s="24">
        <v>45669.0</v>
      </c>
      <c r="C72" s="5" t="s">
        <v>121</v>
      </c>
      <c r="D72" s="5" t="s">
        <v>75</v>
      </c>
      <c r="E72" s="5" t="s">
        <v>122</v>
      </c>
      <c r="F72" s="5" t="s">
        <v>62</v>
      </c>
      <c r="G72" s="5" t="s">
        <v>123</v>
      </c>
      <c r="H72" s="19">
        <v>400.0</v>
      </c>
      <c r="I72" s="19">
        <v>800.0</v>
      </c>
      <c r="J72" s="5" t="s">
        <v>81</v>
      </c>
      <c r="K72" s="2"/>
      <c r="L72" s="2"/>
      <c r="M72" s="2"/>
      <c r="N72" s="2"/>
      <c r="O72" s="2"/>
      <c r="P72" s="2"/>
    </row>
    <row r="73">
      <c r="A73" s="19">
        <v>321.0</v>
      </c>
      <c r="B73" s="21">
        <v>45670.0</v>
      </c>
      <c r="C73" s="5" t="s">
        <v>124</v>
      </c>
      <c r="D73" s="5" t="s">
        <v>125</v>
      </c>
      <c r="E73" s="5" t="s">
        <v>126</v>
      </c>
      <c r="F73" s="5" t="s">
        <v>67</v>
      </c>
      <c r="G73" s="19">
        <v>2.0</v>
      </c>
      <c r="H73" s="19">
        <v>600.0</v>
      </c>
      <c r="I73" s="19">
        <v>1200.0</v>
      </c>
      <c r="J73" s="5" t="s">
        <v>63</v>
      </c>
      <c r="K73" s="2"/>
      <c r="L73" s="2"/>
      <c r="M73" s="2"/>
      <c r="N73" s="2"/>
      <c r="O73" s="2"/>
      <c r="P73" s="2"/>
    </row>
    <row r="74">
      <c r="A74" s="19">
        <v>322.0</v>
      </c>
      <c r="B74" s="21">
        <v>45671.0</v>
      </c>
      <c r="C74" s="5" t="s">
        <v>127</v>
      </c>
      <c r="D74" s="5" t="s">
        <v>65</v>
      </c>
      <c r="E74" s="5" t="s">
        <v>128</v>
      </c>
      <c r="F74" s="5" t="s">
        <v>85</v>
      </c>
      <c r="G74" s="19">
        <v>3.0</v>
      </c>
      <c r="H74" s="19">
        <v>500.0</v>
      </c>
      <c r="I74" s="19">
        <v>1500.0</v>
      </c>
      <c r="J74" s="5" t="s">
        <v>73</v>
      </c>
      <c r="K74" s="2"/>
      <c r="L74" s="2"/>
      <c r="M74" s="2"/>
      <c r="N74" s="2"/>
      <c r="O74" s="2"/>
      <c r="P74" s="2"/>
    </row>
    <row r="75">
      <c r="A75" s="19">
        <v>323.0</v>
      </c>
      <c r="B75" s="22">
        <v>45672.0</v>
      </c>
      <c r="C75" s="5" t="s">
        <v>129</v>
      </c>
      <c r="D75" s="5" t="s">
        <v>130</v>
      </c>
      <c r="E75" s="5" t="s">
        <v>131</v>
      </c>
      <c r="F75" s="5" t="s">
        <v>62</v>
      </c>
      <c r="G75" s="19">
        <v>1.0</v>
      </c>
      <c r="H75" s="19">
        <v>800.0</v>
      </c>
      <c r="I75" s="19">
        <v>800.0</v>
      </c>
      <c r="J75" s="5" t="s">
        <v>68</v>
      </c>
      <c r="K75" s="2"/>
      <c r="L75" s="2"/>
      <c r="M75" s="2"/>
      <c r="N75" s="2"/>
      <c r="O75" s="2"/>
      <c r="P75" s="2"/>
    </row>
    <row r="76">
      <c r="A76" s="19">
        <v>324.0</v>
      </c>
      <c r="B76" s="24">
        <v>45673.0</v>
      </c>
      <c r="C76" s="5" t="s">
        <v>132</v>
      </c>
      <c r="D76" s="5" t="s">
        <v>70</v>
      </c>
      <c r="E76" s="5" t="s">
        <v>133</v>
      </c>
      <c r="F76" s="5" t="s">
        <v>67</v>
      </c>
      <c r="G76" s="19">
        <v>3.0</v>
      </c>
      <c r="H76" s="19">
        <v>550.0</v>
      </c>
      <c r="I76" s="19">
        <v>1650.0</v>
      </c>
      <c r="J76" s="5" t="s">
        <v>99</v>
      </c>
      <c r="K76" s="2"/>
      <c r="L76" s="2"/>
      <c r="M76" s="2"/>
      <c r="N76" s="2"/>
      <c r="O76" s="2"/>
      <c r="P76" s="2"/>
    </row>
    <row r="77">
      <c r="A77" s="19">
        <v>325.0</v>
      </c>
      <c r="B77" s="21">
        <v>45674.0</v>
      </c>
      <c r="C77" s="5" t="s">
        <v>134</v>
      </c>
      <c r="D77" s="5" t="s">
        <v>75</v>
      </c>
      <c r="E77" s="5" t="s">
        <v>135</v>
      </c>
      <c r="F77" s="5" t="s">
        <v>136</v>
      </c>
      <c r="G77" s="19">
        <v>2.0</v>
      </c>
      <c r="H77" s="19">
        <v>400.0</v>
      </c>
      <c r="I77" s="19">
        <v>800.0</v>
      </c>
      <c r="J77" s="5" t="s">
        <v>81</v>
      </c>
      <c r="K77" s="2"/>
      <c r="L77" s="2"/>
      <c r="M77" s="2"/>
      <c r="N77" s="2"/>
      <c r="O77" s="2"/>
      <c r="P77" s="2"/>
    </row>
    <row r="78">
      <c r="A78" s="19">
        <v>326.0</v>
      </c>
      <c r="B78" s="24">
        <v>45674.0</v>
      </c>
      <c r="C78" s="5" t="s">
        <v>137</v>
      </c>
      <c r="D78" s="5" t="s">
        <v>83</v>
      </c>
      <c r="E78" s="5" t="s">
        <v>138</v>
      </c>
      <c r="F78" s="5" t="s">
        <v>139</v>
      </c>
      <c r="G78" s="5" t="s">
        <v>123</v>
      </c>
      <c r="H78" s="19">
        <v>250.0</v>
      </c>
      <c r="I78" s="19">
        <v>500.0</v>
      </c>
      <c r="J78" s="5" t="s">
        <v>63</v>
      </c>
      <c r="K78" s="2"/>
      <c r="L78" s="2"/>
      <c r="M78" s="2"/>
      <c r="N78" s="2"/>
      <c r="O78" s="2"/>
      <c r="P78" s="2"/>
    </row>
    <row r="79">
      <c r="A79" s="19">
        <v>327.0</v>
      </c>
      <c r="B79" s="20">
        <v>45675.0</v>
      </c>
      <c r="C79" s="5" t="s">
        <v>140</v>
      </c>
      <c r="D79" s="5" t="s">
        <v>87</v>
      </c>
      <c r="E79" s="5" t="s">
        <v>141</v>
      </c>
      <c r="F79" s="5" t="s">
        <v>62</v>
      </c>
      <c r="G79" s="19">
        <v>3.0</v>
      </c>
      <c r="H79" s="5" t="s">
        <v>142</v>
      </c>
      <c r="I79" s="19">
        <v>1800.0</v>
      </c>
      <c r="J79" s="5" t="s">
        <v>112</v>
      </c>
      <c r="K79" s="2"/>
      <c r="L79" s="2"/>
      <c r="M79" s="2"/>
      <c r="N79" s="2"/>
      <c r="O79" s="2"/>
      <c r="P79" s="2"/>
    </row>
    <row r="80">
      <c r="A80" s="19">
        <v>328.0</v>
      </c>
      <c r="B80" s="21">
        <v>45676.0</v>
      </c>
      <c r="C80" s="5" t="s">
        <v>143</v>
      </c>
      <c r="D80" s="5" t="s">
        <v>90</v>
      </c>
      <c r="E80" s="5" t="s">
        <v>144</v>
      </c>
      <c r="F80" s="5" t="s">
        <v>62</v>
      </c>
      <c r="G80" s="19">
        <v>4.0</v>
      </c>
      <c r="H80" s="19">
        <v>700.0</v>
      </c>
      <c r="I80" s="19">
        <v>2800.0</v>
      </c>
      <c r="J80" s="5" t="s">
        <v>68</v>
      </c>
      <c r="K80" s="2"/>
      <c r="L80" s="2"/>
      <c r="M80" s="2"/>
      <c r="N80" s="2"/>
      <c r="O80" s="2"/>
      <c r="P80" s="2"/>
    </row>
    <row r="81">
      <c r="A81" s="19">
        <v>329.0</v>
      </c>
      <c r="B81" s="21">
        <v>45676.0</v>
      </c>
      <c r="C81" s="5" t="s">
        <v>145</v>
      </c>
      <c r="D81" s="5" t="s">
        <v>125</v>
      </c>
      <c r="E81" s="5" t="s">
        <v>146</v>
      </c>
      <c r="F81" s="5" t="s">
        <v>85</v>
      </c>
      <c r="G81" s="19">
        <v>5.0</v>
      </c>
      <c r="H81" s="19">
        <v>180.0</v>
      </c>
      <c r="I81" s="19">
        <v>900.0</v>
      </c>
      <c r="J81" s="5" t="s">
        <v>63</v>
      </c>
      <c r="K81" s="2"/>
      <c r="L81" s="2"/>
      <c r="M81" s="2"/>
      <c r="N81" s="2"/>
      <c r="O81" s="2"/>
      <c r="P81" s="2"/>
    </row>
    <row r="82">
      <c r="A82" s="19">
        <v>330.0</v>
      </c>
      <c r="B82" s="21">
        <v>45677.0</v>
      </c>
      <c r="C82" s="5" t="s">
        <v>147</v>
      </c>
      <c r="D82" s="5" t="s">
        <v>130</v>
      </c>
      <c r="E82" s="5" t="s">
        <v>148</v>
      </c>
      <c r="F82" s="5" t="s">
        <v>85</v>
      </c>
      <c r="G82" s="5"/>
      <c r="H82" s="19">
        <v>250.0</v>
      </c>
      <c r="I82" s="5"/>
      <c r="J82" s="5" t="s">
        <v>81</v>
      </c>
      <c r="K82" s="2"/>
      <c r="L82" s="2"/>
      <c r="M82" s="2"/>
      <c r="N82" s="2"/>
      <c r="O82" s="2"/>
      <c r="P82" s="2"/>
    </row>
    <row r="83">
      <c r="A83" s="19">
        <v>331.0</v>
      </c>
      <c r="B83" s="21">
        <v>45678.0</v>
      </c>
      <c r="C83" s="5" t="s">
        <v>149</v>
      </c>
      <c r="D83" s="5" t="s">
        <v>83</v>
      </c>
      <c r="E83" s="5" t="s">
        <v>150</v>
      </c>
      <c r="F83" s="5" t="s">
        <v>136</v>
      </c>
      <c r="G83" s="19">
        <v>3.0</v>
      </c>
      <c r="H83" s="19">
        <v>400.0</v>
      </c>
      <c r="I83" s="19">
        <v>1200.0</v>
      </c>
      <c r="J83" s="5" t="s">
        <v>99</v>
      </c>
      <c r="K83" s="2"/>
      <c r="L83" s="2"/>
      <c r="M83" s="2"/>
      <c r="N83" s="2"/>
      <c r="O83" s="2"/>
      <c r="P83" s="2"/>
    </row>
    <row r="84">
      <c r="A84" s="19">
        <v>332.0</v>
      </c>
      <c r="B84" s="24">
        <v>45679.0</v>
      </c>
      <c r="C84" s="5" t="s">
        <v>151</v>
      </c>
      <c r="D84" s="5" t="s">
        <v>65</v>
      </c>
      <c r="E84" s="5" t="s">
        <v>152</v>
      </c>
      <c r="F84" s="5" t="s">
        <v>62</v>
      </c>
      <c r="G84" s="19">
        <v>2.0</v>
      </c>
      <c r="H84" s="19">
        <v>550.0</v>
      </c>
      <c r="I84" s="19">
        <v>1100.0</v>
      </c>
      <c r="J84" s="5" t="s">
        <v>68</v>
      </c>
      <c r="K84" s="2"/>
      <c r="L84" s="2"/>
      <c r="M84" s="2"/>
      <c r="N84" s="2"/>
      <c r="O84" s="2"/>
      <c r="P84" s="2"/>
    </row>
    <row r="85">
      <c r="A85" s="19">
        <v>333.0</v>
      </c>
      <c r="B85" s="20">
        <v>45679.0</v>
      </c>
      <c r="C85" s="5" t="s">
        <v>153</v>
      </c>
      <c r="D85" s="5" t="s">
        <v>70</v>
      </c>
      <c r="E85" s="5" t="s">
        <v>154</v>
      </c>
      <c r="F85" s="5" t="s">
        <v>85</v>
      </c>
      <c r="G85" s="19">
        <v>1.0</v>
      </c>
      <c r="H85" s="19">
        <v>200.0</v>
      </c>
      <c r="I85" s="19">
        <v>200.0</v>
      </c>
      <c r="J85" s="5" t="s">
        <v>73</v>
      </c>
      <c r="K85" s="2"/>
      <c r="L85" s="2"/>
      <c r="M85" s="2"/>
      <c r="N85" s="2"/>
      <c r="O85" s="2"/>
      <c r="P85" s="2"/>
    </row>
    <row r="86">
      <c r="A86" s="19">
        <v>334.0</v>
      </c>
      <c r="B86" s="21">
        <v>45680.0</v>
      </c>
      <c r="C86" s="5" t="s">
        <v>155</v>
      </c>
      <c r="D86" s="5" t="s">
        <v>75</v>
      </c>
      <c r="E86" s="5" t="s">
        <v>156</v>
      </c>
      <c r="F86" s="5" t="s">
        <v>67</v>
      </c>
      <c r="G86" s="19">
        <v>3.0</v>
      </c>
      <c r="H86" s="19">
        <v>500.0</v>
      </c>
      <c r="I86" s="19">
        <v>1500.0</v>
      </c>
      <c r="J86" s="5" t="s">
        <v>112</v>
      </c>
      <c r="K86" s="2"/>
      <c r="L86" s="2"/>
      <c r="M86" s="2"/>
      <c r="N86" s="2"/>
      <c r="O86" s="2"/>
      <c r="P86" s="2"/>
    </row>
    <row r="87">
      <c r="A87" s="19">
        <v>335.0</v>
      </c>
      <c r="B87" s="21">
        <v>45680.0</v>
      </c>
      <c r="C87" s="5" t="s">
        <v>157</v>
      </c>
      <c r="D87" s="5" t="s">
        <v>130</v>
      </c>
      <c r="E87" s="5" t="s">
        <v>158</v>
      </c>
      <c r="F87" s="5" t="s">
        <v>159</v>
      </c>
      <c r="G87" s="19">
        <v>2.0</v>
      </c>
      <c r="H87" s="19">
        <v>300.0</v>
      </c>
      <c r="I87" s="19">
        <v>600.0</v>
      </c>
      <c r="J87" s="5" t="s">
        <v>81</v>
      </c>
      <c r="K87" s="2"/>
      <c r="L87" s="2"/>
      <c r="M87" s="2"/>
      <c r="N87" s="2"/>
      <c r="O87" s="2"/>
      <c r="P87" s="2"/>
    </row>
    <row r="88">
      <c r="A88" s="19">
        <v>336.0</v>
      </c>
      <c r="B88" s="21">
        <v>45681.0</v>
      </c>
      <c r="C88" s="5" t="s">
        <v>160</v>
      </c>
      <c r="D88" s="5" t="s">
        <v>83</v>
      </c>
      <c r="E88" s="5" t="s">
        <v>161</v>
      </c>
      <c r="F88" s="5" t="s">
        <v>136</v>
      </c>
      <c r="G88" s="19">
        <v>3.0</v>
      </c>
      <c r="H88" s="19">
        <v>350.0</v>
      </c>
      <c r="I88" s="5"/>
      <c r="J88" s="5" t="s">
        <v>73</v>
      </c>
      <c r="K88" s="2"/>
      <c r="L88" s="2"/>
      <c r="M88" s="2"/>
      <c r="N88" s="2"/>
      <c r="O88" s="2"/>
      <c r="P88" s="2"/>
    </row>
    <row r="89">
      <c r="A89" s="19">
        <v>337.0</v>
      </c>
      <c r="B89" s="21">
        <v>45682.0</v>
      </c>
      <c r="C89" s="5" t="s">
        <v>162</v>
      </c>
      <c r="D89" s="5" t="s">
        <v>87</v>
      </c>
      <c r="E89" s="5" t="s">
        <v>163</v>
      </c>
      <c r="F89" s="5" t="s">
        <v>62</v>
      </c>
      <c r="G89" s="19">
        <v>4.0</v>
      </c>
      <c r="H89" s="19">
        <v>550.0</v>
      </c>
      <c r="I89" s="19">
        <v>2200.0</v>
      </c>
      <c r="J89" s="5" t="s">
        <v>63</v>
      </c>
      <c r="K89" s="2"/>
      <c r="L89" s="2"/>
      <c r="M89" s="2"/>
      <c r="N89" s="2"/>
      <c r="O89" s="2"/>
      <c r="P89" s="2"/>
    </row>
    <row r="90">
      <c r="A90" s="19">
        <v>338.0</v>
      </c>
      <c r="B90" s="24">
        <v>45683.0</v>
      </c>
      <c r="C90" s="5" t="s">
        <v>164</v>
      </c>
      <c r="D90" s="5" t="s">
        <v>90</v>
      </c>
      <c r="E90" s="5" t="s">
        <v>148</v>
      </c>
      <c r="F90" s="5" t="s">
        <v>85</v>
      </c>
      <c r="G90" s="19">
        <v>3.0</v>
      </c>
      <c r="H90" s="19">
        <v>250.0</v>
      </c>
      <c r="I90" s="19">
        <v>750.0</v>
      </c>
      <c r="J90" s="5" t="s">
        <v>99</v>
      </c>
      <c r="K90" s="2"/>
      <c r="L90" s="2"/>
      <c r="M90" s="2"/>
      <c r="N90" s="2"/>
      <c r="O90" s="2"/>
      <c r="P90" s="2"/>
    </row>
    <row r="91">
      <c r="A91" s="19">
        <v>339.0</v>
      </c>
      <c r="B91" s="20">
        <v>45684.0</v>
      </c>
      <c r="C91" s="5" t="s">
        <v>165</v>
      </c>
      <c r="D91" s="5" t="s">
        <v>75</v>
      </c>
      <c r="E91" s="5" t="s">
        <v>150</v>
      </c>
      <c r="F91" s="5" t="s">
        <v>136</v>
      </c>
      <c r="G91" s="19">
        <v>2.0</v>
      </c>
      <c r="H91" s="19">
        <v>400.0</v>
      </c>
      <c r="I91" s="5"/>
      <c r="J91" s="5" t="s">
        <v>81</v>
      </c>
      <c r="K91" s="2"/>
      <c r="L91" s="2"/>
      <c r="M91" s="2"/>
      <c r="N91" s="2"/>
      <c r="O91" s="2"/>
      <c r="P91" s="2"/>
    </row>
    <row r="92">
      <c r="A92" s="19">
        <v>340.0</v>
      </c>
      <c r="B92" s="21">
        <v>45685.0</v>
      </c>
      <c r="C92" s="5" t="s">
        <v>166</v>
      </c>
      <c r="D92" s="5" t="s">
        <v>79</v>
      </c>
      <c r="E92" s="5" t="s">
        <v>131</v>
      </c>
      <c r="F92" s="5" t="s">
        <v>77</v>
      </c>
      <c r="G92" s="19">
        <v>2.0</v>
      </c>
      <c r="H92" s="19">
        <v>800.0</v>
      </c>
      <c r="I92" s="5"/>
      <c r="J92" s="5" t="s">
        <v>73</v>
      </c>
      <c r="K92" s="2"/>
      <c r="L92" s="2"/>
      <c r="M92" s="2"/>
      <c r="N92" s="2"/>
      <c r="O92" s="2"/>
      <c r="P92" s="2"/>
    </row>
    <row r="93">
      <c r="A93" s="19">
        <v>341.0</v>
      </c>
      <c r="B93" s="20">
        <v>45686.0</v>
      </c>
      <c r="C93" s="5" t="s">
        <v>167</v>
      </c>
      <c r="D93" s="5" t="s">
        <v>168</v>
      </c>
      <c r="E93" s="5" t="s">
        <v>169</v>
      </c>
      <c r="F93" s="5" t="s">
        <v>62</v>
      </c>
      <c r="G93" s="19">
        <v>3.0</v>
      </c>
      <c r="H93" s="19">
        <v>450.0</v>
      </c>
      <c r="I93" s="19">
        <v>1350.0</v>
      </c>
      <c r="J93" s="5" t="s">
        <v>63</v>
      </c>
      <c r="K93" s="2"/>
      <c r="L93" s="2"/>
      <c r="M93" s="2"/>
      <c r="N93" s="2"/>
      <c r="O93" s="2"/>
      <c r="P93" s="2"/>
    </row>
    <row r="94">
      <c r="A94" s="19">
        <v>342.0</v>
      </c>
      <c r="B94" s="21">
        <v>45686.0</v>
      </c>
      <c r="C94" s="5" t="s">
        <v>170</v>
      </c>
      <c r="D94" s="5" t="s">
        <v>171</v>
      </c>
      <c r="E94" s="5" t="s">
        <v>172</v>
      </c>
      <c r="F94" s="5" t="s">
        <v>85</v>
      </c>
      <c r="G94" s="19">
        <v>4.0</v>
      </c>
      <c r="H94" s="19">
        <v>180.0</v>
      </c>
      <c r="I94" s="19">
        <v>720.0</v>
      </c>
      <c r="J94" s="5" t="s">
        <v>68</v>
      </c>
      <c r="K94" s="2"/>
      <c r="L94" s="2"/>
      <c r="M94" s="2"/>
      <c r="N94" s="2"/>
      <c r="O94" s="2"/>
      <c r="P94" s="2"/>
    </row>
    <row r="95">
      <c r="A95" s="19">
        <v>343.0</v>
      </c>
      <c r="B95" s="20">
        <v>45687.0</v>
      </c>
      <c r="C95" s="5" t="s">
        <v>173</v>
      </c>
      <c r="D95" s="5" t="s">
        <v>70</v>
      </c>
      <c r="E95" s="5" t="s">
        <v>174</v>
      </c>
      <c r="F95" s="5" t="s">
        <v>62</v>
      </c>
      <c r="G95" s="19">
        <v>2.0</v>
      </c>
      <c r="H95" s="19">
        <v>550.0</v>
      </c>
      <c r="I95" s="19">
        <v>1100.0</v>
      </c>
      <c r="J95" s="5" t="s">
        <v>81</v>
      </c>
      <c r="K95" s="2"/>
      <c r="L95" s="2"/>
      <c r="M95" s="2"/>
      <c r="N95" s="2"/>
      <c r="O95" s="2"/>
      <c r="P95" s="2"/>
    </row>
    <row r="96">
      <c r="A96" s="19">
        <v>344.0</v>
      </c>
      <c r="B96" s="24">
        <v>45687.0</v>
      </c>
      <c r="C96" s="5" t="s">
        <v>175</v>
      </c>
      <c r="D96" s="5" t="s">
        <v>75</v>
      </c>
      <c r="E96" s="5" t="s">
        <v>176</v>
      </c>
      <c r="F96" s="5" t="s">
        <v>62</v>
      </c>
      <c r="G96" s="19">
        <v>2.0</v>
      </c>
      <c r="H96" s="19">
        <v>700.0</v>
      </c>
      <c r="I96" s="19">
        <v>1400.0</v>
      </c>
      <c r="J96" s="5" t="s">
        <v>112</v>
      </c>
      <c r="K96" s="2"/>
      <c r="L96" s="2"/>
      <c r="M96" s="2"/>
      <c r="N96" s="2"/>
      <c r="O96" s="2"/>
      <c r="P96" s="2"/>
    </row>
    <row r="97">
      <c r="A97" s="19">
        <v>345.0</v>
      </c>
      <c r="B97" s="21">
        <v>45687.0</v>
      </c>
      <c r="C97" s="5" t="s">
        <v>177</v>
      </c>
      <c r="D97" s="5" t="s">
        <v>178</v>
      </c>
      <c r="E97" s="5" t="s">
        <v>179</v>
      </c>
      <c r="F97" s="5" t="s">
        <v>136</v>
      </c>
      <c r="G97" s="19">
        <v>3.0</v>
      </c>
      <c r="H97" s="19">
        <v>300.0</v>
      </c>
      <c r="I97" s="19">
        <v>900.0</v>
      </c>
      <c r="J97" s="5" t="s">
        <v>68</v>
      </c>
      <c r="K97" s="2"/>
      <c r="L97" s="2"/>
      <c r="M97" s="2"/>
      <c r="N97" s="2"/>
      <c r="O97" s="2"/>
      <c r="P97" s="2"/>
    </row>
    <row r="98">
      <c r="A98" s="19">
        <v>346.0</v>
      </c>
      <c r="B98" s="21">
        <v>45688.0</v>
      </c>
      <c r="C98" s="5" t="s">
        <v>180</v>
      </c>
      <c r="D98" s="5" t="s">
        <v>83</v>
      </c>
      <c r="E98" s="5" t="s">
        <v>141</v>
      </c>
      <c r="F98" s="5" t="s">
        <v>62</v>
      </c>
      <c r="G98" s="19">
        <v>1.0</v>
      </c>
      <c r="H98" s="19">
        <v>600.0</v>
      </c>
      <c r="I98" s="19">
        <v>600.0</v>
      </c>
      <c r="J98" s="5" t="s">
        <v>99</v>
      </c>
      <c r="K98" s="2"/>
      <c r="L98" s="2"/>
      <c r="M98" s="2"/>
      <c r="N98" s="2"/>
      <c r="O98" s="2"/>
      <c r="P98" s="2"/>
    </row>
    <row r="99">
      <c r="A99" s="19">
        <v>347.0</v>
      </c>
      <c r="B99" s="20">
        <v>45689.0</v>
      </c>
      <c r="C99" s="5" t="s">
        <v>181</v>
      </c>
      <c r="D99" s="5" t="s">
        <v>87</v>
      </c>
      <c r="E99" s="5" t="s">
        <v>101</v>
      </c>
      <c r="F99" s="5" t="s">
        <v>118</v>
      </c>
      <c r="G99" s="19">
        <v>2.0</v>
      </c>
      <c r="H99" s="19">
        <v>400.0</v>
      </c>
      <c r="I99" s="19">
        <v>800.0</v>
      </c>
      <c r="J99" s="5" t="s">
        <v>73</v>
      </c>
      <c r="K99" s="2"/>
      <c r="L99" s="2"/>
      <c r="M99" s="2"/>
      <c r="N99" s="2"/>
      <c r="O99" s="2"/>
      <c r="P99" s="2"/>
    </row>
    <row r="100">
      <c r="A100" s="19">
        <v>348.0</v>
      </c>
      <c r="B100" s="21">
        <v>45689.0</v>
      </c>
      <c r="C100" s="5" t="s">
        <v>182</v>
      </c>
      <c r="D100" s="5" t="s">
        <v>70</v>
      </c>
      <c r="E100" s="5" t="s">
        <v>183</v>
      </c>
      <c r="F100" s="5" t="s">
        <v>77</v>
      </c>
      <c r="G100" s="19">
        <v>2.0</v>
      </c>
      <c r="H100" s="19">
        <v>350.0</v>
      </c>
      <c r="I100" s="19">
        <v>700.0</v>
      </c>
      <c r="J100" s="5" t="s">
        <v>73</v>
      </c>
      <c r="K100" s="2"/>
      <c r="L100" s="2"/>
      <c r="M100" s="2"/>
      <c r="N100" s="2"/>
      <c r="O100" s="2"/>
      <c r="P100" s="2"/>
    </row>
    <row r="101">
      <c r="A101" s="19">
        <v>349.0</v>
      </c>
      <c r="B101" s="21">
        <v>45690.0</v>
      </c>
      <c r="C101" s="5" t="s">
        <v>184</v>
      </c>
      <c r="D101" s="5" t="s">
        <v>75</v>
      </c>
      <c r="E101" s="5" t="s">
        <v>185</v>
      </c>
      <c r="F101" s="5" t="s">
        <v>62</v>
      </c>
      <c r="G101" s="19">
        <v>2.0</v>
      </c>
      <c r="H101" s="19">
        <v>550.0</v>
      </c>
      <c r="I101" s="19">
        <v>1100.0</v>
      </c>
      <c r="J101" s="5" t="s">
        <v>63</v>
      </c>
      <c r="K101" s="2"/>
      <c r="L101" s="2"/>
      <c r="M101" s="2"/>
      <c r="N101" s="2"/>
      <c r="O101" s="2"/>
      <c r="P101" s="2"/>
    </row>
    <row r="102">
      <c r="A102" s="19">
        <v>350.0</v>
      </c>
      <c r="B102" s="21">
        <v>45690.0</v>
      </c>
      <c r="C102" s="5" t="s">
        <v>186</v>
      </c>
      <c r="D102" s="5" t="s">
        <v>79</v>
      </c>
      <c r="E102" s="5" t="s">
        <v>187</v>
      </c>
      <c r="F102" s="5" t="s">
        <v>62</v>
      </c>
      <c r="G102" s="19">
        <v>1.0</v>
      </c>
      <c r="H102" s="19">
        <v>850.0</v>
      </c>
      <c r="I102" s="19">
        <v>850.0</v>
      </c>
      <c r="J102" s="5" t="s">
        <v>81</v>
      </c>
      <c r="K102" s="2"/>
      <c r="L102" s="2"/>
      <c r="M102" s="2"/>
      <c r="N102" s="2"/>
      <c r="O102" s="2"/>
      <c r="P102" s="2"/>
    </row>
    <row r="103">
      <c r="A103" s="19">
        <v>351.0</v>
      </c>
      <c r="B103" s="20">
        <v>45691.0</v>
      </c>
      <c r="C103" s="5" t="s">
        <v>188</v>
      </c>
      <c r="D103" s="5" t="s">
        <v>83</v>
      </c>
      <c r="E103" s="5" t="s">
        <v>126</v>
      </c>
      <c r="F103" s="5" t="s">
        <v>62</v>
      </c>
      <c r="G103" s="19">
        <v>2.0</v>
      </c>
      <c r="H103" s="19">
        <v>600.0</v>
      </c>
      <c r="I103" s="19">
        <v>1200.0</v>
      </c>
      <c r="J103" s="5" t="s">
        <v>99</v>
      </c>
      <c r="K103" s="2"/>
      <c r="L103" s="2"/>
      <c r="M103" s="2"/>
      <c r="N103" s="2"/>
      <c r="O103" s="2"/>
      <c r="P103" s="2"/>
    </row>
    <row r="104">
      <c r="A104" s="19">
        <v>352.0</v>
      </c>
      <c r="B104" s="21">
        <v>45691.0</v>
      </c>
      <c r="C104" s="5" t="s">
        <v>189</v>
      </c>
      <c r="D104" s="5" t="s">
        <v>171</v>
      </c>
      <c r="E104" s="5" t="s">
        <v>156</v>
      </c>
      <c r="F104" s="5" t="s">
        <v>118</v>
      </c>
      <c r="G104" s="19">
        <v>3.0</v>
      </c>
      <c r="H104" s="19">
        <v>500.0</v>
      </c>
      <c r="I104" s="19">
        <v>1500.0</v>
      </c>
      <c r="J104" s="5" t="s">
        <v>68</v>
      </c>
      <c r="K104" s="2"/>
      <c r="L104" s="2"/>
      <c r="M104" s="2"/>
      <c r="N104" s="2"/>
      <c r="O104" s="2"/>
      <c r="P104" s="2"/>
    </row>
    <row r="105">
      <c r="A105" s="25">
        <v>353.0</v>
      </c>
      <c r="B105" s="21">
        <v>45692.0</v>
      </c>
      <c r="C105" s="2" t="s">
        <v>190</v>
      </c>
      <c r="D105" s="2" t="s">
        <v>70</v>
      </c>
      <c r="E105" s="2" t="s">
        <v>120</v>
      </c>
      <c r="F105" s="2" t="s">
        <v>85</v>
      </c>
      <c r="G105" s="25">
        <v>4.0</v>
      </c>
      <c r="H105" s="25">
        <v>120.0</v>
      </c>
      <c r="I105" s="25">
        <v>480.0</v>
      </c>
      <c r="J105" s="2" t="s">
        <v>92</v>
      </c>
      <c r="K105" s="2"/>
      <c r="L105" s="2"/>
      <c r="M105" s="2"/>
      <c r="N105" s="2"/>
      <c r="O105" s="2"/>
      <c r="P105" s="2"/>
    </row>
    <row r="106">
      <c r="A106" s="19">
        <v>354.0</v>
      </c>
      <c r="B106" s="21">
        <v>45692.0</v>
      </c>
      <c r="C106" s="2" t="s">
        <v>191</v>
      </c>
      <c r="D106" s="2" t="s">
        <v>75</v>
      </c>
      <c r="E106" s="2" t="s">
        <v>122</v>
      </c>
      <c r="F106" s="2" t="s">
        <v>77</v>
      </c>
      <c r="G106" s="25">
        <v>2.0</v>
      </c>
      <c r="H106" s="25">
        <v>400.0</v>
      </c>
      <c r="I106" s="25">
        <v>800.0</v>
      </c>
      <c r="J106" s="2" t="s">
        <v>63</v>
      </c>
      <c r="K106" s="2"/>
      <c r="L106" s="2"/>
      <c r="M106" s="2"/>
      <c r="N106" s="2"/>
      <c r="O106" s="2"/>
      <c r="P106" s="2"/>
    </row>
    <row r="107">
      <c r="A107" s="19">
        <v>355.0</v>
      </c>
      <c r="B107" s="21">
        <v>45693.0</v>
      </c>
      <c r="C107" s="2" t="s">
        <v>192</v>
      </c>
      <c r="D107" s="2" t="s">
        <v>178</v>
      </c>
      <c r="E107" s="2" t="s">
        <v>131</v>
      </c>
      <c r="F107" s="2" t="s">
        <v>62</v>
      </c>
      <c r="G107" s="25">
        <v>1.0</v>
      </c>
      <c r="H107" s="25">
        <v>800.0</v>
      </c>
      <c r="I107" s="25">
        <v>800.0</v>
      </c>
      <c r="J107" s="2" t="s">
        <v>68</v>
      </c>
      <c r="K107" s="2"/>
      <c r="L107" s="2"/>
      <c r="M107" s="2"/>
      <c r="N107" s="2"/>
      <c r="O107" s="2"/>
      <c r="P107" s="2"/>
    </row>
    <row r="108">
      <c r="A108" s="19">
        <v>356.0</v>
      </c>
      <c r="B108" s="20">
        <v>45693.0</v>
      </c>
      <c r="C108" s="2" t="s">
        <v>193</v>
      </c>
      <c r="D108" s="2" t="s">
        <v>168</v>
      </c>
      <c r="E108" s="2" t="s">
        <v>84</v>
      </c>
      <c r="F108" s="2" t="s">
        <v>85</v>
      </c>
      <c r="G108" s="25">
        <v>3.0</v>
      </c>
      <c r="H108" s="25">
        <v>250.0</v>
      </c>
      <c r="I108" s="25">
        <v>750.0</v>
      </c>
      <c r="J108" s="2" t="s">
        <v>63</v>
      </c>
      <c r="K108" s="2"/>
      <c r="L108" s="2"/>
      <c r="M108" s="2"/>
      <c r="N108" s="2"/>
      <c r="O108" s="2"/>
      <c r="P108" s="2"/>
    </row>
    <row r="109">
      <c r="A109" s="19">
        <v>357.0</v>
      </c>
      <c r="B109" s="21">
        <v>45694.0</v>
      </c>
      <c r="C109" s="2" t="s">
        <v>194</v>
      </c>
      <c r="D109" s="2" t="s">
        <v>87</v>
      </c>
      <c r="E109" s="2" t="s">
        <v>195</v>
      </c>
      <c r="F109" s="2" t="s">
        <v>62</v>
      </c>
      <c r="G109" s="25">
        <v>3.0</v>
      </c>
      <c r="H109" s="25">
        <v>400.0</v>
      </c>
      <c r="I109" s="25">
        <v>1200.0</v>
      </c>
      <c r="J109" s="2" t="s">
        <v>73</v>
      </c>
      <c r="K109" s="2"/>
      <c r="L109" s="2"/>
      <c r="M109" s="2"/>
      <c r="N109" s="2"/>
      <c r="O109" s="2"/>
      <c r="P109" s="2"/>
    </row>
    <row r="110">
      <c r="A110" s="19">
        <v>358.0</v>
      </c>
      <c r="B110" s="21">
        <v>45694.0</v>
      </c>
      <c r="C110" s="2" t="s">
        <v>196</v>
      </c>
      <c r="D110" s="2" t="s">
        <v>70</v>
      </c>
      <c r="E110" s="2" t="s">
        <v>197</v>
      </c>
      <c r="F110" s="2" t="s">
        <v>62</v>
      </c>
      <c r="G110" s="25">
        <v>2.0</v>
      </c>
      <c r="H110" s="25">
        <v>450.0</v>
      </c>
      <c r="I110" s="25">
        <v>900.0</v>
      </c>
      <c r="J110" s="2" t="s">
        <v>81</v>
      </c>
      <c r="K110" s="2"/>
      <c r="L110" s="2"/>
      <c r="M110" s="2"/>
      <c r="N110" s="2"/>
      <c r="O110" s="2"/>
      <c r="P110" s="2"/>
    </row>
    <row r="111">
      <c r="A111" s="19">
        <v>359.0</v>
      </c>
      <c r="B111" s="20">
        <v>45695.0</v>
      </c>
      <c r="C111" s="2" t="s">
        <v>198</v>
      </c>
      <c r="D111" s="2" t="s">
        <v>75</v>
      </c>
      <c r="E111" s="2" t="s">
        <v>199</v>
      </c>
      <c r="F111" s="2" t="s">
        <v>62</v>
      </c>
      <c r="G111" s="25">
        <v>2.0</v>
      </c>
      <c r="H111" s="25">
        <v>650.0</v>
      </c>
      <c r="I111" s="25">
        <v>1300.0</v>
      </c>
      <c r="J111" s="2" t="s">
        <v>99</v>
      </c>
      <c r="K111" s="2"/>
      <c r="L111" s="2"/>
      <c r="M111" s="2"/>
      <c r="N111" s="2"/>
      <c r="O111" s="2"/>
      <c r="P111" s="2"/>
    </row>
    <row r="112">
      <c r="A112" s="19">
        <v>360.0</v>
      </c>
      <c r="B112" s="24">
        <v>45664.0</v>
      </c>
      <c r="C112" s="2" t="s">
        <v>200</v>
      </c>
      <c r="D112" s="2" t="s">
        <v>79</v>
      </c>
      <c r="E112" s="2" t="s">
        <v>201</v>
      </c>
      <c r="F112" s="2" t="s">
        <v>136</v>
      </c>
      <c r="G112" s="25">
        <v>3.0</v>
      </c>
      <c r="H112" s="25">
        <v>350.0</v>
      </c>
      <c r="I112" s="25">
        <v>1050.0</v>
      </c>
      <c r="J112" s="2" t="s">
        <v>68</v>
      </c>
      <c r="K112" s="2"/>
      <c r="L112" s="2"/>
      <c r="M112" s="2"/>
      <c r="N112" s="2"/>
      <c r="O112" s="2"/>
      <c r="P112" s="2"/>
    </row>
    <row r="113">
      <c r="A113" s="19">
        <v>361.0</v>
      </c>
      <c r="B113" s="21">
        <v>45696.0</v>
      </c>
      <c r="C113" s="2" t="s">
        <v>202</v>
      </c>
      <c r="D113" s="2" t="s">
        <v>83</v>
      </c>
      <c r="E113" s="2" t="s">
        <v>203</v>
      </c>
      <c r="F113" s="2" t="s">
        <v>85</v>
      </c>
      <c r="G113" s="25">
        <v>4.0</v>
      </c>
      <c r="H113" s="25">
        <v>150.0</v>
      </c>
      <c r="I113" s="25">
        <v>600.0</v>
      </c>
      <c r="J113" s="2" t="s">
        <v>63</v>
      </c>
      <c r="K113" s="2"/>
      <c r="L113" s="2"/>
      <c r="M113" s="2"/>
      <c r="N113" s="2"/>
      <c r="O113" s="2"/>
      <c r="P113" s="2"/>
    </row>
    <row r="114">
      <c r="A114" s="19">
        <v>362.0</v>
      </c>
      <c r="B114" s="21">
        <v>45696.0</v>
      </c>
      <c r="C114" s="2" t="s">
        <v>204</v>
      </c>
      <c r="D114" s="2" t="s">
        <v>171</v>
      </c>
      <c r="E114" s="2" t="s">
        <v>205</v>
      </c>
      <c r="F114" s="2" t="s">
        <v>85</v>
      </c>
      <c r="G114" s="25">
        <v>3.0</v>
      </c>
      <c r="H114" s="25">
        <v>220.0</v>
      </c>
      <c r="I114" s="25">
        <v>660.0</v>
      </c>
      <c r="J114" s="2" t="s">
        <v>73</v>
      </c>
      <c r="K114" s="2"/>
      <c r="L114" s="2"/>
      <c r="M114" s="2"/>
      <c r="N114" s="2"/>
      <c r="O114" s="2"/>
      <c r="P114" s="2"/>
    </row>
    <row r="115">
      <c r="A115" s="19">
        <v>363.0</v>
      </c>
      <c r="B115" s="21">
        <v>45697.0</v>
      </c>
      <c r="C115" s="2" t="s">
        <v>206</v>
      </c>
      <c r="D115" s="2" t="s">
        <v>70</v>
      </c>
      <c r="E115" s="2" t="s">
        <v>207</v>
      </c>
      <c r="F115" s="2" t="s">
        <v>159</v>
      </c>
      <c r="G115" s="25">
        <v>3.0</v>
      </c>
      <c r="H115" s="25">
        <v>200.0</v>
      </c>
      <c r="I115" s="25">
        <v>600.0</v>
      </c>
      <c r="J115" s="2" t="s">
        <v>92</v>
      </c>
      <c r="K115" s="2"/>
      <c r="L115" s="2"/>
      <c r="M115" s="2"/>
      <c r="N115" s="2"/>
      <c r="O115" s="2"/>
      <c r="P115" s="2"/>
    </row>
    <row r="116">
      <c r="A116" s="19">
        <v>364.0</v>
      </c>
      <c r="B116" s="21">
        <v>45697.0</v>
      </c>
      <c r="C116" s="2" t="s">
        <v>208</v>
      </c>
      <c r="D116" s="2" t="s">
        <v>75</v>
      </c>
      <c r="E116" s="2" t="s">
        <v>209</v>
      </c>
      <c r="F116" s="2" t="s">
        <v>85</v>
      </c>
      <c r="G116" s="25">
        <v>2.0</v>
      </c>
      <c r="H116" s="25">
        <v>250.0</v>
      </c>
      <c r="I116" s="25">
        <v>500.0</v>
      </c>
      <c r="J116" s="2" t="s">
        <v>63</v>
      </c>
      <c r="K116" s="2"/>
      <c r="L116" s="2"/>
      <c r="M116" s="2"/>
      <c r="N116" s="2"/>
      <c r="O116" s="2"/>
      <c r="P116" s="2"/>
    </row>
    <row r="117">
      <c r="A117" s="19">
        <v>365.0</v>
      </c>
      <c r="B117" s="21">
        <v>45698.0</v>
      </c>
      <c r="C117" s="2" t="s">
        <v>210</v>
      </c>
      <c r="D117" s="2" t="s">
        <v>178</v>
      </c>
      <c r="E117" s="2" t="s">
        <v>211</v>
      </c>
      <c r="F117" s="2" t="s">
        <v>62</v>
      </c>
      <c r="G117" s="25">
        <v>2.0</v>
      </c>
      <c r="H117" s="25">
        <v>850.0</v>
      </c>
      <c r="I117" s="25">
        <v>1700.0</v>
      </c>
      <c r="J117" s="2" t="s">
        <v>68</v>
      </c>
      <c r="K117" s="2"/>
      <c r="L117" s="2"/>
      <c r="M117" s="2"/>
      <c r="N117" s="2"/>
      <c r="O117" s="2"/>
      <c r="P117" s="2"/>
    </row>
    <row r="118">
      <c r="A118" s="19">
        <v>366.0</v>
      </c>
      <c r="B118" s="20">
        <v>45698.0</v>
      </c>
      <c r="C118" s="2" t="s">
        <v>212</v>
      </c>
      <c r="D118" s="2" t="s">
        <v>168</v>
      </c>
      <c r="E118" s="2" t="s">
        <v>213</v>
      </c>
      <c r="F118" s="2" t="s">
        <v>62</v>
      </c>
      <c r="G118" s="25">
        <v>2.0</v>
      </c>
      <c r="H118" s="25">
        <v>500.0</v>
      </c>
      <c r="I118" s="25">
        <v>1000.0</v>
      </c>
      <c r="J118" s="2" t="s">
        <v>63</v>
      </c>
      <c r="K118" s="2"/>
      <c r="L118" s="2"/>
      <c r="M118" s="2"/>
      <c r="N118" s="2"/>
      <c r="O118" s="2"/>
      <c r="P118" s="2"/>
    </row>
    <row r="119">
      <c r="A119" s="19">
        <v>367.0</v>
      </c>
      <c r="B119" s="21">
        <v>45699.0</v>
      </c>
      <c r="C119" s="2" t="s">
        <v>214</v>
      </c>
      <c r="D119" s="2" t="s">
        <v>87</v>
      </c>
      <c r="E119" s="2" t="s">
        <v>205</v>
      </c>
      <c r="F119" s="2" t="s">
        <v>85</v>
      </c>
      <c r="G119" s="25">
        <v>3.0</v>
      </c>
      <c r="H119" s="25">
        <v>220.0</v>
      </c>
      <c r="I119" s="25">
        <v>660.0</v>
      </c>
      <c r="J119" s="2" t="s">
        <v>73</v>
      </c>
      <c r="K119" s="2"/>
      <c r="L119" s="2"/>
      <c r="M119" s="2"/>
      <c r="N119" s="2"/>
      <c r="O119" s="2"/>
      <c r="P119" s="2"/>
    </row>
    <row r="120">
      <c r="A120" s="19">
        <v>368.0</v>
      </c>
      <c r="B120" s="21">
        <v>45699.0</v>
      </c>
      <c r="C120" s="2" t="s">
        <v>215</v>
      </c>
      <c r="D120" s="2" t="s">
        <v>70</v>
      </c>
      <c r="E120" s="2" t="s">
        <v>174</v>
      </c>
      <c r="F120" s="2" t="s">
        <v>62</v>
      </c>
      <c r="G120" s="25">
        <v>2.0</v>
      </c>
      <c r="H120" s="25">
        <v>550.0</v>
      </c>
      <c r="I120" s="25">
        <v>1100.0</v>
      </c>
      <c r="J120" s="2" t="s">
        <v>63</v>
      </c>
      <c r="K120" s="2"/>
      <c r="L120" s="2"/>
      <c r="M120" s="2"/>
      <c r="N120" s="2"/>
      <c r="O120" s="2"/>
      <c r="P120" s="2"/>
    </row>
    <row r="121">
      <c r="A121" s="19">
        <v>369.0</v>
      </c>
      <c r="B121" s="21">
        <v>45700.0</v>
      </c>
      <c r="C121" s="2" t="s">
        <v>216</v>
      </c>
      <c r="D121" s="2" t="s">
        <v>75</v>
      </c>
      <c r="E121" s="2" t="s">
        <v>217</v>
      </c>
      <c r="F121" s="2" t="s">
        <v>85</v>
      </c>
      <c r="G121" s="25">
        <v>4.0</v>
      </c>
      <c r="H121" s="25">
        <v>180.0</v>
      </c>
      <c r="I121" s="25">
        <v>720.0</v>
      </c>
      <c r="J121" s="2" t="s">
        <v>99</v>
      </c>
      <c r="K121" s="2"/>
      <c r="L121" s="2"/>
      <c r="M121" s="2"/>
      <c r="N121" s="2"/>
      <c r="O121" s="2"/>
      <c r="P121" s="2"/>
    </row>
    <row r="122">
      <c r="A122" s="19">
        <v>370.0</v>
      </c>
      <c r="B122" s="21">
        <v>45700.0</v>
      </c>
      <c r="C122" s="2" t="s">
        <v>218</v>
      </c>
      <c r="D122" s="2" t="s">
        <v>79</v>
      </c>
      <c r="E122" s="2" t="s">
        <v>219</v>
      </c>
      <c r="F122" s="2" t="s">
        <v>136</v>
      </c>
      <c r="G122" s="25">
        <v>1.0</v>
      </c>
      <c r="H122" s="25">
        <v>600.0</v>
      </c>
      <c r="I122" s="25">
        <v>600.0</v>
      </c>
      <c r="J122" s="2" t="s">
        <v>81</v>
      </c>
      <c r="K122" s="2"/>
      <c r="L122" s="2"/>
      <c r="M122" s="2"/>
      <c r="N122" s="2"/>
      <c r="O122" s="2"/>
      <c r="P122" s="2"/>
    </row>
    <row r="123">
      <c r="A123" s="19">
        <v>371.0</v>
      </c>
      <c r="B123" s="21">
        <v>45701.0</v>
      </c>
      <c r="C123" s="2" t="s">
        <v>220</v>
      </c>
      <c r="D123" s="2" t="s">
        <v>83</v>
      </c>
      <c r="E123" s="2" t="s">
        <v>169</v>
      </c>
      <c r="F123" s="2" t="s">
        <v>62</v>
      </c>
      <c r="G123" s="25">
        <v>3.0</v>
      </c>
      <c r="H123" s="25">
        <v>450.0</v>
      </c>
      <c r="I123" s="25">
        <v>1350.0</v>
      </c>
      <c r="J123" s="2" t="s">
        <v>63</v>
      </c>
      <c r="K123" s="2"/>
      <c r="L123" s="2"/>
      <c r="M123" s="2"/>
      <c r="N123" s="2"/>
      <c r="O123" s="2"/>
      <c r="P123" s="2"/>
    </row>
    <row r="124">
      <c r="A124" s="19">
        <v>372.0</v>
      </c>
      <c r="B124" s="21">
        <v>45701.0</v>
      </c>
      <c r="C124" s="2" t="s">
        <v>221</v>
      </c>
      <c r="D124" s="2" t="s">
        <v>87</v>
      </c>
      <c r="E124" s="2" t="s">
        <v>222</v>
      </c>
      <c r="F124" s="2" t="s">
        <v>62</v>
      </c>
      <c r="G124" s="25">
        <v>2.0</v>
      </c>
      <c r="H124" s="25">
        <v>400.0</v>
      </c>
      <c r="I124" s="25">
        <v>800.0</v>
      </c>
      <c r="J124" s="2" t="s">
        <v>68</v>
      </c>
      <c r="K124" s="2"/>
      <c r="L124" s="2"/>
      <c r="M124" s="2"/>
      <c r="N124" s="2"/>
      <c r="O124" s="2"/>
      <c r="P124" s="2"/>
    </row>
    <row r="125">
      <c r="A125" s="19">
        <v>373.0</v>
      </c>
      <c r="B125" s="21">
        <v>45702.0</v>
      </c>
      <c r="C125" s="2" t="s">
        <v>223</v>
      </c>
      <c r="D125" s="2" t="s">
        <v>70</v>
      </c>
      <c r="E125" s="2" t="s">
        <v>224</v>
      </c>
      <c r="F125" s="2" t="s">
        <v>85</v>
      </c>
      <c r="G125" s="25">
        <v>5.0</v>
      </c>
      <c r="H125" s="25">
        <v>100.0</v>
      </c>
      <c r="I125" s="25">
        <v>500.0</v>
      </c>
      <c r="J125" s="2" t="s">
        <v>81</v>
      </c>
      <c r="K125" s="2"/>
      <c r="L125" s="2"/>
      <c r="M125" s="2"/>
      <c r="N125" s="2"/>
      <c r="O125" s="2"/>
      <c r="P125" s="2"/>
    </row>
    <row r="126">
      <c r="A126" s="19">
        <v>374.0</v>
      </c>
      <c r="B126" s="21">
        <v>45702.0</v>
      </c>
      <c r="C126" s="2" t="s">
        <v>225</v>
      </c>
      <c r="D126" s="2" t="s">
        <v>75</v>
      </c>
      <c r="E126" s="2" t="s">
        <v>226</v>
      </c>
      <c r="F126" s="2" t="s">
        <v>85</v>
      </c>
      <c r="G126" s="25">
        <v>3.0</v>
      </c>
      <c r="H126" s="25">
        <v>250.0</v>
      </c>
      <c r="I126" s="25">
        <v>750.0</v>
      </c>
      <c r="J126" s="2" t="s">
        <v>63</v>
      </c>
      <c r="K126" s="2"/>
      <c r="L126" s="2"/>
      <c r="M126" s="2"/>
      <c r="N126" s="2"/>
      <c r="O126" s="2"/>
      <c r="P126" s="2"/>
    </row>
    <row r="127">
      <c r="A127" s="19">
        <v>375.0</v>
      </c>
      <c r="B127" s="21">
        <v>45703.0</v>
      </c>
      <c r="C127" s="2" t="s">
        <v>227</v>
      </c>
      <c r="D127" s="2" t="s">
        <v>79</v>
      </c>
      <c r="E127" s="2" t="s">
        <v>228</v>
      </c>
      <c r="F127" s="2" t="s">
        <v>62</v>
      </c>
      <c r="G127" s="25">
        <v>2.0</v>
      </c>
      <c r="H127" s="25">
        <v>900.0</v>
      </c>
      <c r="I127" s="25">
        <v>1800.0</v>
      </c>
      <c r="J127" s="2" t="s">
        <v>73</v>
      </c>
      <c r="K127" s="2"/>
      <c r="L127" s="2"/>
      <c r="M127" s="2"/>
      <c r="N127" s="2"/>
      <c r="O127" s="2"/>
      <c r="P127" s="2"/>
    </row>
    <row r="128">
      <c r="A128" s="19">
        <v>376.0</v>
      </c>
      <c r="B128" s="21">
        <v>45703.0</v>
      </c>
      <c r="C128" s="2" t="s">
        <v>229</v>
      </c>
      <c r="D128" s="2" t="s">
        <v>168</v>
      </c>
      <c r="E128" s="2" t="s">
        <v>141</v>
      </c>
      <c r="F128" s="2" t="s">
        <v>62</v>
      </c>
      <c r="G128" s="25">
        <v>1.0</v>
      </c>
      <c r="H128" s="25">
        <v>600.0</v>
      </c>
      <c r="I128" s="25">
        <v>600.0</v>
      </c>
      <c r="J128" s="2" t="s">
        <v>99</v>
      </c>
      <c r="K128" s="2"/>
      <c r="L128" s="2"/>
      <c r="M128" s="2"/>
      <c r="N128" s="2"/>
      <c r="O128" s="2"/>
      <c r="P128" s="2"/>
    </row>
    <row r="129">
      <c r="A129" s="19">
        <v>377.0</v>
      </c>
      <c r="B129" s="21">
        <v>45704.0</v>
      </c>
      <c r="C129" s="2" t="s">
        <v>230</v>
      </c>
      <c r="D129" s="2" t="s">
        <v>171</v>
      </c>
      <c r="E129" s="2" t="s">
        <v>101</v>
      </c>
      <c r="F129" s="2" t="s">
        <v>118</v>
      </c>
      <c r="G129" s="25">
        <v>2.0</v>
      </c>
      <c r="H129" s="25">
        <v>400.0</v>
      </c>
      <c r="I129" s="25">
        <v>800.0</v>
      </c>
      <c r="J129" s="2" t="s">
        <v>73</v>
      </c>
      <c r="K129" s="2"/>
      <c r="L129" s="2"/>
      <c r="M129" s="2"/>
      <c r="N129" s="2"/>
      <c r="O129" s="2"/>
      <c r="P129" s="2"/>
    </row>
    <row r="130">
      <c r="A130" s="19">
        <v>378.0</v>
      </c>
      <c r="B130" s="21">
        <v>45704.0</v>
      </c>
      <c r="C130" s="2" t="s">
        <v>231</v>
      </c>
      <c r="D130" s="2" t="s">
        <v>70</v>
      </c>
      <c r="E130" s="2" t="s">
        <v>183</v>
      </c>
      <c r="F130" s="2" t="s">
        <v>77</v>
      </c>
      <c r="G130" s="25">
        <v>2.0</v>
      </c>
      <c r="H130" s="25">
        <v>350.0</v>
      </c>
      <c r="I130" s="25">
        <v>700.0</v>
      </c>
      <c r="J130" s="2" t="s">
        <v>73</v>
      </c>
      <c r="K130" s="2"/>
      <c r="L130" s="2"/>
      <c r="M130" s="2"/>
      <c r="N130" s="2"/>
      <c r="O130" s="2"/>
      <c r="P130" s="2"/>
    </row>
    <row r="131">
      <c r="A131" s="19">
        <v>379.0</v>
      </c>
      <c r="B131" s="21">
        <v>45705.0</v>
      </c>
      <c r="C131" s="2" t="s">
        <v>232</v>
      </c>
      <c r="D131" s="2" t="s">
        <v>75</v>
      </c>
      <c r="E131" s="2" t="s">
        <v>185</v>
      </c>
      <c r="F131" s="2" t="s">
        <v>62</v>
      </c>
      <c r="G131" s="25">
        <v>2.0</v>
      </c>
      <c r="H131" s="25">
        <v>550.0</v>
      </c>
      <c r="I131" s="25">
        <v>1100.0</v>
      </c>
      <c r="J131" s="2" t="s">
        <v>63</v>
      </c>
      <c r="K131" s="2"/>
      <c r="L131" s="2"/>
      <c r="M131" s="2"/>
      <c r="N131" s="2"/>
      <c r="O131" s="2"/>
      <c r="P131" s="2"/>
    </row>
    <row r="132">
      <c r="A132" s="19">
        <v>380.0</v>
      </c>
      <c r="B132" s="21">
        <v>45705.0</v>
      </c>
      <c r="C132" s="2" t="s">
        <v>233</v>
      </c>
      <c r="D132" s="2" t="s">
        <v>178</v>
      </c>
      <c r="E132" s="2" t="s">
        <v>187</v>
      </c>
      <c r="F132" s="2" t="s">
        <v>62</v>
      </c>
      <c r="G132" s="25">
        <v>1.0</v>
      </c>
      <c r="H132" s="25">
        <v>850.0</v>
      </c>
      <c r="I132" s="25">
        <v>850.0</v>
      </c>
      <c r="J132" s="2" t="s">
        <v>81</v>
      </c>
      <c r="K132" s="2"/>
      <c r="L132" s="2"/>
      <c r="M132" s="2"/>
      <c r="N132" s="2"/>
      <c r="O132" s="2"/>
      <c r="P132" s="2"/>
    </row>
    <row r="133">
      <c r="A133" s="19">
        <v>381.0</v>
      </c>
      <c r="B133" s="21">
        <v>45706.0</v>
      </c>
      <c r="C133" s="2" t="s">
        <v>234</v>
      </c>
      <c r="D133" s="2" t="s">
        <v>83</v>
      </c>
      <c r="E133" s="2" t="s">
        <v>126</v>
      </c>
      <c r="F133" s="2" t="s">
        <v>62</v>
      </c>
      <c r="G133" s="25">
        <v>2.0</v>
      </c>
      <c r="H133" s="25">
        <v>600.0</v>
      </c>
      <c r="I133" s="25">
        <v>1200.0</v>
      </c>
      <c r="J133" s="2" t="s">
        <v>99</v>
      </c>
      <c r="K133" s="2"/>
      <c r="L133" s="2"/>
      <c r="M133" s="2"/>
      <c r="N133" s="2"/>
      <c r="O133" s="2"/>
      <c r="P133" s="2"/>
    </row>
    <row r="134">
      <c r="A134" s="19">
        <v>382.0</v>
      </c>
      <c r="B134" s="21">
        <v>45706.0</v>
      </c>
      <c r="C134" s="2" t="s">
        <v>235</v>
      </c>
      <c r="D134" s="2" t="s">
        <v>171</v>
      </c>
      <c r="E134" s="2" t="s">
        <v>156</v>
      </c>
      <c r="F134" s="2" t="s">
        <v>118</v>
      </c>
      <c r="G134" s="25">
        <v>3.0</v>
      </c>
      <c r="H134" s="25">
        <v>500.0</v>
      </c>
      <c r="I134" s="25">
        <v>1500.0</v>
      </c>
      <c r="J134" s="2" t="s">
        <v>68</v>
      </c>
      <c r="K134" s="2"/>
      <c r="L134" s="2"/>
      <c r="M134" s="2"/>
      <c r="N134" s="2"/>
      <c r="O134" s="2"/>
      <c r="P134" s="2"/>
    </row>
    <row r="135">
      <c r="A135" s="19">
        <v>383.0</v>
      </c>
      <c r="B135" s="21">
        <v>45707.0</v>
      </c>
      <c r="C135" s="2" t="s">
        <v>236</v>
      </c>
      <c r="D135" s="2" t="s">
        <v>70</v>
      </c>
      <c r="E135" s="2" t="s">
        <v>120</v>
      </c>
      <c r="F135" s="2" t="s">
        <v>85</v>
      </c>
      <c r="G135" s="25">
        <v>4.0</v>
      </c>
      <c r="H135" s="25">
        <v>120.0</v>
      </c>
      <c r="I135" s="25">
        <v>480.0</v>
      </c>
      <c r="J135" s="2" t="s">
        <v>92</v>
      </c>
      <c r="K135" s="2"/>
      <c r="L135" s="2"/>
      <c r="M135" s="2"/>
      <c r="N135" s="2"/>
      <c r="O135" s="2"/>
      <c r="P135" s="2"/>
    </row>
    <row r="136">
      <c r="A136" s="19">
        <v>384.0</v>
      </c>
      <c r="B136" s="21">
        <v>45707.0</v>
      </c>
      <c r="C136" s="2" t="s">
        <v>237</v>
      </c>
      <c r="D136" s="2" t="s">
        <v>75</v>
      </c>
      <c r="E136" s="2" t="s">
        <v>122</v>
      </c>
      <c r="F136" s="2" t="s">
        <v>77</v>
      </c>
      <c r="G136" s="25">
        <v>2.0</v>
      </c>
      <c r="H136" s="25">
        <v>400.0</v>
      </c>
      <c r="I136" s="25">
        <v>800.0</v>
      </c>
      <c r="J136" s="2" t="s">
        <v>63</v>
      </c>
      <c r="K136" s="2"/>
      <c r="L136" s="2"/>
      <c r="M136" s="2"/>
      <c r="N136" s="2"/>
      <c r="O136" s="2"/>
      <c r="P136" s="2"/>
    </row>
    <row r="137">
      <c r="A137" s="19">
        <v>385.0</v>
      </c>
      <c r="B137" s="21">
        <v>45708.0</v>
      </c>
      <c r="C137" s="2" t="s">
        <v>238</v>
      </c>
      <c r="D137" s="2" t="s">
        <v>178</v>
      </c>
      <c r="E137" s="2" t="s">
        <v>131</v>
      </c>
      <c r="F137" s="2" t="s">
        <v>62</v>
      </c>
      <c r="G137" s="25">
        <v>1.0</v>
      </c>
      <c r="H137" s="25">
        <v>800.0</v>
      </c>
      <c r="I137" s="25">
        <v>800.0</v>
      </c>
      <c r="J137" s="2" t="s">
        <v>68</v>
      </c>
      <c r="K137" s="2"/>
      <c r="L137" s="2"/>
      <c r="M137" s="2"/>
      <c r="N137" s="2"/>
      <c r="O137" s="2"/>
      <c r="P137" s="2"/>
    </row>
    <row r="138">
      <c r="A138" s="19">
        <v>386.0</v>
      </c>
      <c r="B138" s="21">
        <v>45708.0</v>
      </c>
      <c r="C138" s="2" t="s">
        <v>239</v>
      </c>
      <c r="D138" s="2" t="s">
        <v>168</v>
      </c>
      <c r="E138" s="2" t="s">
        <v>84</v>
      </c>
      <c r="F138" s="2" t="s">
        <v>85</v>
      </c>
      <c r="G138" s="25">
        <v>3.0</v>
      </c>
      <c r="H138" s="25">
        <v>250.0</v>
      </c>
      <c r="I138" s="25">
        <v>750.0</v>
      </c>
      <c r="J138" s="2" t="s">
        <v>63</v>
      </c>
      <c r="K138" s="2"/>
      <c r="L138" s="2"/>
      <c r="M138" s="2"/>
      <c r="N138" s="2"/>
      <c r="O138" s="2"/>
      <c r="P138" s="2"/>
    </row>
    <row r="139">
      <c r="A139" s="19">
        <v>387.0</v>
      </c>
      <c r="B139" s="21">
        <v>45709.0</v>
      </c>
      <c r="C139" s="2" t="s">
        <v>240</v>
      </c>
      <c r="D139" s="2" t="s">
        <v>87</v>
      </c>
      <c r="E139" s="2" t="s">
        <v>195</v>
      </c>
      <c r="F139" s="2" t="s">
        <v>62</v>
      </c>
      <c r="G139" s="25">
        <v>3.0</v>
      </c>
      <c r="H139" s="25">
        <v>400.0</v>
      </c>
      <c r="I139" s="25">
        <v>1200.0</v>
      </c>
      <c r="J139" s="2" t="s">
        <v>73</v>
      </c>
      <c r="K139" s="2"/>
      <c r="L139" s="2"/>
      <c r="M139" s="2"/>
      <c r="N139" s="2"/>
      <c r="O139" s="2"/>
      <c r="P139" s="2"/>
    </row>
    <row r="140">
      <c r="A140" s="19">
        <v>388.0</v>
      </c>
      <c r="B140" s="21">
        <v>45709.0</v>
      </c>
      <c r="C140" s="2" t="s">
        <v>241</v>
      </c>
      <c r="D140" s="2" t="s">
        <v>70</v>
      </c>
      <c r="E140" s="2" t="s">
        <v>197</v>
      </c>
      <c r="F140" s="2" t="s">
        <v>62</v>
      </c>
      <c r="G140" s="25">
        <v>2.0</v>
      </c>
      <c r="H140" s="25">
        <v>450.0</v>
      </c>
      <c r="I140" s="25">
        <v>900.0</v>
      </c>
      <c r="J140" s="2" t="s">
        <v>81</v>
      </c>
      <c r="K140" s="2"/>
      <c r="L140" s="2"/>
      <c r="M140" s="2"/>
      <c r="N140" s="2"/>
      <c r="O140" s="2"/>
      <c r="P140" s="2"/>
    </row>
    <row r="141">
      <c r="A141" s="19">
        <v>389.0</v>
      </c>
      <c r="B141" s="21">
        <v>45710.0</v>
      </c>
      <c r="C141" s="2" t="s">
        <v>242</v>
      </c>
      <c r="D141" s="2" t="s">
        <v>75</v>
      </c>
      <c r="E141" s="2" t="s">
        <v>199</v>
      </c>
      <c r="F141" s="2" t="s">
        <v>62</v>
      </c>
      <c r="G141" s="25">
        <v>2.0</v>
      </c>
      <c r="H141" s="25">
        <v>650.0</v>
      </c>
      <c r="I141" s="25">
        <v>1300.0</v>
      </c>
      <c r="J141" s="2" t="s">
        <v>99</v>
      </c>
      <c r="K141" s="2"/>
      <c r="L141" s="2"/>
      <c r="M141" s="2"/>
      <c r="N141" s="2"/>
      <c r="O141" s="2"/>
      <c r="P141" s="2"/>
    </row>
    <row r="142">
      <c r="A142" s="19">
        <v>390.0</v>
      </c>
      <c r="B142" s="24">
        <v>45679.0</v>
      </c>
      <c r="C142" s="2" t="s">
        <v>243</v>
      </c>
      <c r="D142" s="2" t="s">
        <v>79</v>
      </c>
      <c r="E142" s="2" t="s">
        <v>201</v>
      </c>
      <c r="F142" s="2" t="s">
        <v>136</v>
      </c>
      <c r="G142" s="25">
        <v>3.0</v>
      </c>
      <c r="H142" s="25">
        <v>350.0</v>
      </c>
      <c r="I142" s="25">
        <v>1050.0</v>
      </c>
      <c r="J142" s="2" t="s">
        <v>68</v>
      </c>
      <c r="K142" s="2"/>
      <c r="L142" s="2"/>
      <c r="M142" s="2"/>
      <c r="N142" s="2"/>
      <c r="O142" s="2"/>
      <c r="P142" s="2"/>
    </row>
    <row r="143">
      <c r="A143" s="19">
        <v>391.0</v>
      </c>
      <c r="B143" s="21">
        <v>45711.0</v>
      </c>
      <c r="C143" s="2" t="s">
        <v>244</v>
      </c>
      <c r="D143" s="2" t="s">
        <v>83</v>
      </c>
      <c r="E143" s="2" t="s">
        <v>203</v>
      </c>
      <c r="F143" s="2" t="s">
        <v>85</v>
      </c>
      <c r="G143" s="25">
        <v>4.0</v>
      </c>
      <c r="H143" s="25">
        <v>150.0</v>
      </c>
      <c r="I143" s="25">
        <v>600.0</v>
      </c>
      <c r="J143" s="2" t="s">
        <v>63</v>
      </c>
      <c r="K143" s="2"/>
      <c r="L143" s="2"/>
      <c r="M143" s="2"/>
      <c r="N143" s="2"/>
      <c r="O143" s="2"/>
      <c r="P143" s="2"/>
    </row>
    <row r="144">
      <c r="A144" s="19">
        <v>392.0</v>
      </c>
      <c r="B144" s="21">
        <v>45711.0</v>
      </c>
      <c r="C144" s="2" t="s">
        <v>245</v>
      </c>
      <c r="D144" s="2" t="s">
        <v>171</v>
      </c>
      <c r="E144" s="2" t="s">
        <v>205</v>
      </c>
      <c r="F144" s="2" t="s">
        <v>85</v>
      </c>
      <c r="G144" s="25">
        <v>3.0</v>
      </c>
      <c r="H144" s="25">
        <v>220.0</v>
      </c>
      <c r="I144" s="25">
        <v>660.0</v>
      </c>
      <c r="J144" s="2" t="s">
        <v>73</v>
      </c>
      <c r="K144" s="2"/>
      <c r="L144" s="2"/>
      <c r="M144" s="2"/>
      <c r="N144" s="2"/>
      <c r="O144" s="2"/>
      <c r="P144" s="2"/>
    </row>
    <row r="145">
      <c r="A145" s="19">
        <v>393.0</v>
      </c>
      <c r="B145" s="21">
        <v>45712.0</v>
      </c>
      <c r="C145" s="2" t="s">
        <v>246</v>
      </c>
      <c r="D145" s="2" t="s">
        <v>70</v>
      </c>
      <c r="E145" s="2" t="s">
        <v>207</v>
      </c>
      <c r="F145" s="2" t="s">
        <v>159</v>
      </c>
      <c r="G145" s="25">
        <v>3.0</v>
      </c>
      <c r="H145" s="25">
        <v>200.0</v>
      </c>
      <c r="I145" s="25">
        <v>600.0</v>
      </c>
      <c r="J145" s="2" t="s">
        <v>92</v>
      </c>
      <c r="K145" s="2"/>
      <c r="L145" s="2"/>
      <c r="M145" s="2"/>
      <c r="N145" s="2"/>
      <c r="O145" s="2"/>
      <c r="P145" s="2"/>
    </row>
    <row r="146">
      <c r="A146" s="19">
        <v>394.0</v>
      </c>
      <c r="B146" s="21">
        <v>45712.0</v>
      </c>
      <c r="C146" s="2" t="s">
        <v>247</v>
      </c>
      <c r="D146" s="2" t="s">
        <v>75</v>
      </c>
      <c r="E146" s="2" t="s">
        <v>209</v>
      </c>
      <c r="F146" s="2" t="s">
        <v>85</v>
      </c>
      <c r="G146" s="25">
        <v>2.0</v>
      </c>
      <c r="H146" s="25">
        <v>250.0</v>
      </c>
      <c r="I146" s="25">
        <v>500.0</v>
      </c>
      <c r="J146" s="2" t="s">
        <v>63</v>
      </c>
      <c r="K146" s="2"/>
      <c r="L146" s="2"/>
      <c r="M146" s="2"/>
      <c r="N146" s="2"/>
      <c r="O146" s="2"/>
      <c r="P146" s="2"/>
    </row>
    <row r="147">
      <c r="A147" s="25">
        <v>395.0</v>
      </c>
      <c r="B147" s="21">
        <v>45713.0</v>
      </c>
      <c r="C147" s="2" t="s">
        <v>248</v>
      </c>
      <c r="D147" s="2" t="s">
        <v>178</v>
      </c>
      <c r="E147" s="2" t="s">
        <v>211</v>
      </c>
      <c r="F147" s="2" t="s">
        <v>62</v>
      </c>
      <c r="G147" s="25">
        <v>2.0</v>
      </c>
      <c r="H147" s="25">
        <v>850.0</v>
      </c>
      <c r="I147" s="25">
        <v>1700.0</v>
      </c>
      <c r="J147" s="2" t="s">
        <v>68</v>
      </c>
      <c r="K147" s="2"/>
      <c r="L147" s="2"/>
      <c r="M147" s="2"/>
      <c r="N147" s="2"/>
      <c r="O147" s="2"/>
      <c r="P147" s="2"/>
    </row>
    <row r="148">
      <c r="A148" s="25">
        <v>396.0</v>
      </c>
      <c r="B148" s="21">
        <v>45713.0</v>
      </c>
      <c r="C148" s="2" t="s">
        <v>249</v>
      </c>
      <c r="D148" s="2" t="s">
        <v>168</v>
      </c>
      <c r="E148" s="2" t="s">
        <v>213</v>
      </c>
      <c r="F148" s="2" t="s">
        <v>62</v>
      </c>
      <c r="G148" s="25">
        <v>2.0</v>
      </c>
      <c r="H148" s="25">
        <v>500.0</v>
      </c>
      <c r="I148" s="25">
        <v>1000.0</v>
      </c>
      <c r="J148" s="2" t="s">
        <v>63</v>
      </c>
      <c r="K148" s="2"/>
      <c r="L148" s="2"/>
      <c r="M148" s="2"/>
      <c r="N148" s="2"/>
      <c r="O148" s="2"/>
      <c r="P148" s="2"/>
    </row>
    <row r="149">
      <c r="A149" s="25">
        <v>397.0</v>
      </c>
      <c r="B149" s="21">
        <v>45714.0</v>
      </c>
      <c r="C149" s="2" t="s">
        <v>250</v>
      </c>
      <c r="D149" s="2" t="s">
        <v>87</v>
      </c>
      <c r="E149" s="2" t="s">
        <v>205</v>
      </c>
      <c r="F149" s="2" t="s">
        <v>85</v>
      </c>
      <c r="G149" s="25">
        <v>3.0</v>
      </c>
      <c r="H149" s="25">
        <v>220.0</v>
      </c>
      <c r="I149" s="25">
        <v>660.0</v>
      </c>
      <c r="J149" s="2" t="s">
        <v>73</v>
      </c>
      <c r="K149" s="2"/>
      <c r="L149" s="2"/>
      <c r="M149" s="2"/>
      <c r="N149" s="2"/>
      <c r="O149" s="2"/>
      <c r="P149" s="2"/>
    </row>
    <row r="150">
      <c r="A150" s="25">
        <v>398.0</v>
      </c>
      <c r="B150" s="21">
        <v>45714.0</v>
      </c>
      <c r="C150" s="2" t="s">
        <v>251</v>
      </c>
      <c r="D150" s="2" t="s">
        <v>70</v>
      </c>
      <c r="E150" s="2" t="s">
        <v>174</v>
      </c>
      <c r="F150" s="2" t="s">
        <v>62</v>
      </c>
      <c r="G150" s="25">
        <v>2.0</v>
      </c>
      <c r="H150" s="25">
        <v>550.0</v>
      </c>
      <c r="I150" s="25">
        <v>1100.0</v>
      </c>
      <c r="J150" s="2" t="s">
        <v>63</v>
      </c>
      <c r="K150" s="2"/>
      <c r="L150" s="2"/>
      <c r="M150" s="2"/>
      <c r="N150" s="2"/>
      <c r="O150" s="2"/>
      <c r="P150" s="2"/>
    </row>
    <row r="151">
      <c r="A151" s="25">
        <v>399.0</v>
      </c>
      <c r="B151" s="21">
        <v>45715.0</v>
      </c>
      <c r="C151" s="2" t="s">
        <v>252</v>
      </c>
      <c r="D151" s="2" t="s">
        <v>75</v>
      </c>
      <c r="E151" s="2" t="s">
        <v>217</v>
      </c>
      <c r="F151" s="2" t="s">
        <v>85</v>
      </c>
      <c r="G151" s="25">
        <v>4.0</v>
      </c>
      <c r="H151" s="25">
        <v>180.0</v>
      </c>
      <c r="I151" s="25">
        <v>720.0</v>
      </c>
      <c r="J151" s="2" t="s">
        <v>99</v>
      </c>
      <c r="K151" s="2"/>
      <c r="L151" s="2"/>
      <c r="M151" s="2"/>
      <c r="N151" s="2"/>
      <c r="O151" s="2"/>
      <c r="P151" s="2"/>
    </row>
    <row r="152">
      <c r="A152" s="25">
        <v>400.0</v>
      </c>
      <c r="B152" s="21">
        <v>45715.0</v>
      </c>
      <c r="C152" s="2" t="s">
        <v>253</v>
      </c>
      <c r="D152" s="2" t="s">
        <v>79</v>
      </c>
      <c r="E152" s="2" t="s">
        <v>219</v>
      </c>
      <c r="F152" s="2" t="s">
        <v>136</v>
      </c>
      <c r="G152" s="25">
        <v>1.0</v>
      </c>
      <c r="H152" s="25">
        <v>600.0</v>
      </c>
      <c r="I152" s="25">
        <v>600.0</v>
      </c>
      <c r="J152" s="2" t="s">
        <v>81</v>
      </c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4.75"/>
    <col customWidth="1" min="4" max="4" width="14.25"/>
    <col customWidth="1" min="5" max="5" width="20.5"/>
    <col customWidth="1" min="6" max="6" width="14.25"/>
    <col customWidth="1" min="7" max="7" width="14.0"/>
    <col customWidth="1" min="8" max="8" width="14.38"/>
    <col customWidth="1" min="9" max="9" width="17.13"/>
    <col customWidth="1" min="10" max="10" width="19.38"/>
  </cols>
  <sheetData>
    <row r="1" ht="22.5" customHeight="1">
      <c r="A1" s="28" t="s">
        <v>49</v>
      </c>
      <c r="B1" s="29" t="s">
        <v>50</v>
      </c>
      <c r="C1" s="28" t="s">
        <v>51</v>
      </c>
      <c r="D1" s="28" t="s">
        <v>52</v>
      </c>
      <c r="E1" s="28" t="s">
        <v>53</v>
      </c>
      <c r="F1" s="28" t="s">
        <v>54</v>
      </c>
      <c r="G1" s="28" t="s">
        <v>55</v>
      </c>
      <c r="H1" s="28" t="s">
        <v>254</v>
      </c>
      <c r="I1" s="28" t="s">
        <v>57</v>
      </c>
      <c r="J1" s="28" t="s">
        <v>58</v>
      </c>
    </row>
    <row r="2" ht="22.5" customHeight="1">
      <c r="A2" s="30">
        <v>301.0</v>
      </c>
      <c r="B2" s="31">
        <v>45662.0</v>
      </c>
      <c r="C2" s="30" t="s">
        <v>59</v>
      </c>
      <c r="D2" s="32" t="s">
        <v>83</v>
      </c>
      <c r="E2" s="30" t="s">
        <v>61</v>
      </c>
      <c r="F2" s="30" t="s">
        <v>62</v>
      </c>
      <c r="G2" s="30">
        <v>2.0</v>
      </c>
      <c r="H2" s="30">
        <v>450.0</v>
      </c>
      <c r="I2" s="30">
        <f t="shared" ref="I2:I29" si="1">G2*H2</f>
        <v>900</v>
      </c>
      <c r="J2" s="30" t="s">
        <v>63</v>
      </c>
    </row>
    <row r="3" ht="22.5" customHeight="1">
      <c r="A3" s="30">
        <v>302.0</v>
      </c>
      <c r="B3" s="31">
        <v>45663.0</v>
      </c>
      <c r="C3" s="30" t="s">
        <v>64</v>
      </c>
      <c r="D3" s="32" t="s">
        <v>87</v>
      </c>
      <c r="E3" s="33" t="s">
        <v>255</v>
      </c>
      <c r="F3" s="32" t="s">
        <v>62</v>
      </c>
      <c r="G3" s="30">
        <v>1.0</v>
      </c>
      <c r="H3" s="30">
        <v>700.0</v>
      </c>
      <c r="I3" s="30">
        <f t="shared" si="1"/>
        <v>700</v>
      </c>
      <c r="J3" s="32" t="s">
        <v>73</v>
      </c>
    </row>
    <row r="4" ht="22.5" customHeight="1">
      <c r="A4" s="30">
        <v>303.0</v>
      </c>
      <c r="B4" s="31">
        <v>45663.0</v>
      </c>
      <c r="C4" s="30" t="s">
        <v>69</v>
      </c>
      <c r="D4" s="30" t="s">
        <v>70</v>
      </c>
      <c r="E4" s="30" t="s">
        <v>71</v>
      </c>
      <c r="F4" s="30" t="s">
        <v>62</v>
      </c>
      <c r="G4" s="32">
        <v>3.0</v>
      </c>
      <c r="H4" s="30">
        <v>650.0</v>
      </c>
      <c r="I4" s="30">
        <f t="shared" si="1"/>
        <v>1950</v>
      </c>
      <c r="J4" s="30" t="s">
        <v>73</v>
      </c>
    </row>
    <row r="5" ht="22.5" customHeight="1">
      <c r="A5" s="30">
        <v>304.0</v>
      </c>
      <c r="B5" s="31">
        <v>45664.0</v>
      </c>
      <c r="C5" s="30" t="s">
        <v>74</v>
      </c>
      <c r="D5" s="30" t="s">
        <v>75</v>
      </c>
      <c r="E5" s="32" t="s">
        <v>256</v>
      </c>
      <c r="F5" s="32" t="s">
        <v>62</v>
      </c>
      <c r="G5" s="30">
        <v>2.0</v>
      </c>
      <c r="H5" s="30">
        <v>550.0</v>
      </c>
      <c r="I5" s="30">
        <f t="shared" si="1"/>
        <v>1100</v>
      </c>
      <c r="J5" s="30" t="s">
        <v>63</v>
      </c>
    </row>
    <row r="6" ht="22.5" customHeight="1">
      <c r="A6" s="30">
        <v>305.0</v>
      </c>
      <c r="B6" s="31">
        <v>45664.0</v>
      </c>
      <c r="C6" s="30" t="s">
        <v>78</v>
      </c>
      <c r="D6" s="30" t="s">
        <v>79</v>
      </c>
      <c r="E6" s="33" t="s">
        <v>257</v>
      </c>
      <c r="F6" s="30" t="s">
        <v>62</v>
      </c>
      <c r="G6" s="30">
        <v>1.0</v>
      </c>
      <c r="H6" s="30">
        <v>800.0</v>
      </c>
      <c r="I6" s="30">
        <f t="shared" si="1"/>
        <v>800</v>
      </c>
      <c r="J6" s="30" t="s">
        <v>81</v>
      </c>
    </row>
    <row r="7" ht="22.5" customHeight="1">
      <c r="A7" s="30">
        <v>306.0</v>
      </c>
      <c r="B7" s="31">
        <v>45664.0</v>
      </c>
      <c r="C7" s="30" t="s">
        <v>82</v>
      </c>
      <c r="D7" s="30" t="s">
        <v>83</v>
      </c>
      <c r="E7" s="30" t="s">
        <v>84</v>
      </c>
      <c r="F7" s="30" t="s">
        <v>85</v>
      </c>
      <c r="G7" s="30">
        <v>3.0</v>
      </c>
      <c r="H7" s="30">
        <v>250.0</v>
      </c>
      <c r="I7" s="30">
        <f t="shared" si="1"/>
        <v>750</v>
      </c>
      <c r="J7" s="30" t="s">
        <v>73</v>
      </c>
    </row>
    <row r="8" ht="22.5" customHeight="1">
      <c r="A8" s="30">
        <v>307.0</v>
      </c>
      <c r="B8" s="31">
        <v>45665.0</v>
      </c>
      <c r="C8" s="30" t="s">
        <v>86</v>
      </c>
      <c r="D8" s="30" t="s">
        <v>87</v>
      </c>
      <c r="E8" s="30" t="s">
        <v>88</v>
      </c>
      <c r="F8" s="30" t="s">
        <v>85</v>
      </c>
      <c r="G8" s="30">
        <v>4.0</v>
      </c>
      <c r="H8" s="30">
        <v>180.0</v>
      </c>
      <c r="I8" s="30">
        <f t="shared" si="1"/>
        <v>720</v>
      </c>
      <c r="J8" s="30" t="s">
        <v>63</v>
      </c>
    </row>
    <row r="9" ht="22.5" customHeight="1">
      <c r="A9" s="30">
        <v>308.0</v>
      </c>
      <c r="B9" s="31">
        <v>45665.0</v>
      </c>
      <c r="C9" s="32" t="s">
        <v>258</v>
      </c>
      <c r="D9" s="32" t="s">
        <v>70</v>
      </c>
      <c r="E9" s="30" t="s">
        <v>91</v>
      </c>
      <c r="F9" s="30" t="s">
        <v>85</v>
      </c>
      <c r="G9" s="30">
        <v>2.0</v>
      </c>
      <c r="H9" s="30">
        <v>300.0</v>
      </c>
      <c r="I9" s="30">
        <f t="shared" si="1"/>
        <v>600</v>
      </c>
      <c r="J9" s="32" t="s">
        <v>81</v>
      </c>
    </row>
    <row r="10" ht="22.5" customHeight="1">
      <c r="A10" s="30">
        <v>309.0</v>
      </c>
      <c r="B10" s="31">
        <v>45666.0</v>
      </c>
      <c r="C10" s="30" t="s">
        <v>93</v>
      </c>
      <c r="D10" s="30" t="s">
        <v>75</v>
      </c>
      <c r="E10" s="32" t="s">
        <v>259</v>
      </c>
      <c r="F10" s="30" t="s">
        <v>85</v>
      </c>
      <c r="G10" s="30">
        <v>3.0</v>
      </c>
      <c r="H10" s="30">
        <v>200.0</v>
      </c>
      <c r="I10" s="30">
        <f t="shared" si="1"/>
        <v>600</v>
      </c>
      <c r="J10" s="30" t="s">
        <v>63</v>
      </c>
    </row>
    <row r="11" ht="22.5" customHeight="1">
      <c r="A11" s="30">
        <v>310.0</v>
      </c>
      <c r="B11" s="31">
        <v>45666.0</v>
      </c>
      <c r="C11" s="30" t="s">
        <v>95</v>
      </c>
      <c r="D11" s="30" t="s">
        <v>79</v>
      </c>
      <c r="E11" s="30" t="s">
        <v>96</v>
      </c>
      <c r="F11" s="30" t="s">
        <v>85</v>
      </c>
      <c r="G11" s="30">
        <v>2.0</v>
      </c>
      <c r="H11" s="30">
        <v>350.0</v>
      </c>
      <c r="I11" s="30">
        <f t="shared" si="1"/>
        <v>700</v>
      </c>
      <c r="J11" s="32" t="s">
        <v>73</v>
      </c>
    </row>
    <row r="12" ht="22.5" customHeight="1">
      <c r="A12" s="30">
        <v>312.0</v>
      </c>
      <c r="B12" s="31">
        <v>45667.0</v>
      </c>
      <c r="C12" s="30" t="s">
        <v>97</v>
      </c>
      <c r="D12" s="30" t="s">
        <v>83</v>
      </c>
      <c r="E12" s="32" t="s">
        <v>141</v>
      </c>
      <c r="F12" s="30" t="s">
        <v>62</v>
      </c>
      <c r="G12" s="30">
        <v>1.0</v>
      </c>
      <c r="H12" s="30">
        <v>600.0</v>
      </c>
      <c r="I12" s="30">
        <f t="shared" si="1"/>
        <v>600</v>
      </c>
      <c r="J12" s="32" t="s">
        <v>63</v>
      </c>
    </row>
    <row r="13" ht="22.5" customHeight="1">
      <c r="A13" s="30">
        <v>313.0</v>
      </c>
      <c r="B13" s="31">
        <v>45667.0</v>
      </c>
      <c r="C13" s="30" t="s">
        <v>100</v>
      </c>
      <c r="D13" s="30" t="s">
        <v>87</v>
      </c>
      <c r="E13" s="30" t="s">
        <v>101</v>
      </c>
      <c r="F13" s="30" t="s">
        <v>62</v>
      </c>
      <c r="G13" s="30">
        <v>2.0</v>
      </c>
      <c r="H13" s="30">
        <v>400.0</v>
      </c>
      <c r="I13" s="30">
        <f t="shared" si="1"/>
        <v>800</v>
      </c>
      <c r="J13" s="30" t="s">
        <v>73</v>
      </c>
    </row>
    <row r="14" ht="22.5" customHeight="1">
      <c r="A14" s="30">
        <v>314.0</v>
      </c>
      <c r="B14" s="31">
        <v>45667.0</v>
      </c>
      <c r="C14" s="30" t="s">
        <v>102</v>
      </c>
      <c r="D14" s="30" t="s">
        <v>70</v>
      </c>
      <c r="E14" s="32" t="s">
        <v>183</v>
      </c>
      <c r="F14" s="32" t="s">
        <v>62</v>
      </c>
      <c r="G14" s="30">
        <v>2.0</v>
      </c>
      <c r="H14" s="30">
        <v>350.0</v>
      </c>
      <c r="I14" s="30">
        <f t="shared" si="1"/>
        <v>700</v>
      </c>
      <c r="J14" s="32" t="s">
        <v>73</v>
      </c>
    </row>
    <row r="15" ht="22.5" customHeight="1">
      <c r="A15" s="30">
        <v>315.0</v>
      </c>
      <c r="B15" s="31">
        <v>45668.0</v>
      </c>
      <c r="C15" s="30" t="s">
        <v>106</v>
      </c>
      <c r="D15" s="30" t="s">
        <v>75</v>
      </c>
      <c r="E15" s="30" t="s">
        <v>107</v>
      </c>
      <c r="F15" s="30" t="s">
        <v>62</v>
      </c>
      <c r="G15" s="32">
        <v>2.0</v>
      </c>
      <c r="H15" s="30">
        <v>750.0</v>
      </c>
      <c r="I15" s="30">
        <f t="shared" si="1"/>
        <v>1500</v>
      </c>
      <c r="J15" s="30" t="s">
        <v>63</v>
      </c>
    </row>
    <row r="16" ht="22.5" customHeight="1">
      <c r="A16" s="30">
        <v>316.0</v>
      </c>
      <c r="B16" s="31">
        <v>45668.0</v>
      </c>
      <c r="C16" s="30" t="s">
        <v>108</v>
      </c>
      <c r="D16" s="32" t="s">
        <v>79</v>
      </c>
      <c r="E16" s="33" t="s">
        <v>260</v>
      </c>
      <c r="F16" s="32" t="s">
        <v>62</v>
      </c>
      <c r="G16" s="30">
        <v>1.0</v>
      </c>
      <c r="H16" s="30">
        <v>850.0</v>
      </c>
      <c r="I16" s="30">
        <f t="shared" si="1"/>
        <v>850</v>
      </c>
      <c r="J16" s="32" t="s">
        <v>81</v>
      </c>
    </row>
    <row r="17" ht="22.5" customHeight="1">
      <c r="A17" s="30">
        <v>317.0</v>
      </c>
      <c r="B17" s="31">
        <v>45962.0</v>
      </c>
      <c r="C17" s="30" t="s">
        <v>113</v>
      </c>
      <c r="D17" s="32" t="s">
        <v>83</v>
      </c>
      <c r="E17" s="30" t="s">
        <v>114</v>
      </c>
      <c r="F17" s="32" t="s">
        <v>62</v>
      </c>
      <c r="G17" s="30">
        <v>3.0</v>
      </c>
      <c r="H17" s="30">
        <v>500.0</v>
      </c>
      <c r="I17" s="30">
        <f t="shared" si="1"/>
        <v>1500</v>
      </c>
      <c r="J17" s="30" t="s">
        <v>63</v>
      </c>
    </row>
    <row r="18" ht="22.5" customHeight="1">
      <c r="A18" s="30">
        <v>318.0</v>
      </c>
      <c r="B18" s="31">
        <v>45668.0</v>
      </c>
      <c r="C18" s="30" t="s">
        <v>115</v>
      </c>
      <c r="D18" s="32" t="s">
        <v>87</v>
      </c>
      <c r="E18" s="30" t="s">
        <v>117</v>
      </c>
      <c r="F18" s="32" t="s">
        <v>62</v>
      </c>
      <c r="G18" s="30">
        <v>2.0</v>
      </c>
      <c r="H18" s="30">
        <v>550.0</v>
      </c>
      <c r="I18" s="30">
        <f t="shared" si="1"/>
        <v>1100</v>
      </c>
      <c r="J18" s="32" t="s">
        <v>73</v>
      </c>
    </row>
    <row r="19" ht="22.5" customHeight="1">
      <c r="A19" s="30">
        <v>319.0</v>
      </c>
      <c r="B19" s="31">
        <v>45669.0</v>
      </c>
      <c r="C19" s="30" t="s">
        <v>119</v>
      </c>
      <c r="D19" s="30" t="s">
        <v>70</v>
      </c>
      <c r="E19" s="30" t="s">
        <v>120</v>
      </c>
      <c r="F19" s="30" t="s">
        <v>85</v>
      </c>
      <c r="G19" s="30">
        <v>4.0</v>
      </c>
      <c r="H19" s="30">
        <v>120.0</v>
      </c>
      <c r="I19" s="30">
        <f t="shared" si="1"/>
        <v>480</v>
      </c>
      <c r="J19" s="32" t="s">
        <v>63</v>
      </c>
    </row>
    <row r="20" ht="22.5" customHeight="1">
      <c r="A20" s="30">
        <v>320.0</v>
      </c>
      <c r="B20" s="31">
        <v>45669.0</v>
      </c>
      <c r="C20" s="30" t="s">
        <v>121</v>
      </c>
      <c r="D20" s="30" t="s">
        <v>75</v>
      </c>
      <c r="E20" s="30" t="s">
        <v>122</v>
      </c>
      <c r="F20" s="30" t="s">
        <v>62</v>
      </c>
      <c r="G20" s="32">
        <v>2.0</v>
      </c>
      <c r="H20" s="30">
        <v>400.0</v>
      </c>
      <c r="I20" s="30">
        <f t="shared" si="1"/>
        <v>800</v>
      </c>
      <c r="J20" s="30" t="s">
        <v>81</v>
      </c>
    </row>
    <row r="21" ht="22.5" customHeight="1">
      <c r="A21" s="30">
        <v>321.0</v>
      </c>
      <c r="B21" s="31">
        <v>45670.0</v>
      </c>
      <c r="C21" s="30" t="s">
        <v>124</v>
      </c>
      <c r="D21" s="32" t="s">
        <v>75</v>
      </c>
      <c r="E21" s="30" t="s">
        <v>126</v>
      </c>
      <c r="F21" s="32" t="s">
        <v>62</v>
      </c>
      <c r="G21" s="30">
        <v>2.0</v>
      </c>
      <c r="H21" s="30">
        <v>600.0</v>
      </c>
      <c r="I21" s="30">
        <f t="shared" si="1"/>
        <v>1200</v>
      </c>
      <c r="J21" s="30" t="s">
        <v>63</v>
      </c>
    </row>
    <row r="22" ht="22.5" customHeight="1">
      <c r="A22" s="30">
        <v>322.0</v>
      </c>
      <c r="B22" s="31">
        <v>45671.0</v>
      </c>
      <c r="C22" s="30" t="s">
        <v>127</v>
      </c>
      <c r="D22" s="32" t="s">
        <v>87</v>
      </c>
      <c r="E22" s="30" t="s">
        <v>128</v>
      </c>
      <c r="F22" s="30" t="s">
        <v>85</v>
      </c>
      <c r="G22" s="30">
        <v>3.0</v>
      </c>
      <c r="H22" s="30">
        <v>500.0</v>
      </c>
      <c r="I22" s="30">
        <f t="shared" si="1"/>
        <v>1500</v>
      </c>
      <c r="J22" s="30" t="s">
        <v>73</v>
      </c>
    </row>
    <row r="23" ht="22.5" customHeight="1">
      <c r="A23" s="30">
        <v>323.0</v>
      </c>
      <c r="B23" s="31">
        <v>45672.0</v>
      </c>
      <c r="C23" s="30" t="s">
        <v>129</v>
      </c>
      <c r="D23" s="32" t="s">
        <v>79</v>
      </c>
      <c r="E23" s="33" t="s">
        <v>257</v>
      </c>
      <c r="F23" s="30" t="s">
        <v>62</v>
      </c>
      <c r="G23" s="30">
        <v>1.0</v>
      </c>
      <c r="H23" s="30">
        <v>800.0</v>
      </c>
      <c r="I23" s="30">
        <f t="shared" si="1"/>
        <v>800</v>
      </c>
      <c r="J23" s="32" t="s">
        <v>73</v>
      </c>
    </row>
    <row r="24" ht="22.5" customHeight="1">
      <c r="A24" s="30">
        <v>324.0</v>
      </c>
      <c r="B24" s="31">
        <v>45673.0</v>
      </c>
      <c r="C24" s="30" t="s">
        <v>132</v>
      </c>
      <c r="D24" s="30" t="s">
        <v>70</v>
      </c>
      <c r="E24" s="30" t="s">
        <v>133</v>
      </c>
      <c r="F24" s="32" t="s">
        <v>62</v>
      </c>
      <c r="G24" s="30">
        <v>3.0</v>
      </c>
      <c r="H24" s="30">
        <v>550.0</v>
      </c>
      <c r="I24" s="30">
        <f t="shared" si="1"/>
        <v>1650</v>
      </c>
      <c r="J24" s="32" t="s">
        <v>63</v>
      </c>
    </row>
    <row r="25" ht="22.5" customHeight="1">
      <c r="A25" s="30">
        <v>325.0</v>
      </c>
      <c r="B25" s="31">
        <v>45674.0</v>
      </c>
      <c r="C25" s="30" t="s">
        <v>134</v>
      </c>
      <c r="D25" s="30" t="s">
        <v>75</v>
      </c>
      <c r="E25" s="30" t="s">
        <v>135</v>
      </c>
      <c r="F25" s="30" t="s">
        <v>136</v>
      </c>
      <c r="G25" s="30">
        <v>2.0</v>
      </c>
      <c r="H25" s="30">
        <v>400.0</v>
      </c>
      <c r="I25" s="30">
        <f t="shared" si="1"/>
        <v>800</v>
      </c>
      <c r="J25" s="30" t="s">
        <v>81</v>
      </c>
    </row>
    <row r="26" ht="22.5" customHeight="1">
      <c r="A26" s="30">
        <v>326.0</v>
      </c>
      <c r="B26" s="31">
        <v>45674.0</v>
      </c>
      <c r="C26" s="30" t="s">
        <v>137</v>
      </c>
      <c r="D26" s="30" t="s">
        <v>83</v>
      </c>
      <c r="E26" s="32" t="s">
        <v>261</v>
      </c>
      <c r="F26" s="32" t="s">
        <v>136</v>
      </c>
      <c r="G26" s="32">
        <v>2.0</v>
      </c>
      <c r="H26" s="30">
        <v>250.0</v>
      </c>
      <c r="I26" s="30">
        <f t="shared" si="1"/>
        <v>500</v>
      </c>
      <c r="J26" s="30" t="s">
        <v>63</v>
      </c>
    </row>
    <row r="27" ht="22.5" customHeight="1">
      <c r="A27" s="30">
        <v>327.0</v>
      </c>
      <c r="B27" s="31">
        <v>45675.0</v>
      </c>
      <c r="C27" s="30" t="s">
        <v>140</v>
      </c>
      <c r="D27" s="30" t="s">
        <v>87</v>
      </c>
      <c r="E27" s="30" t="s">
        <v>141</v>
      </c>
      <c r="F27" s="30" t="s">
        <v>62</v>
      </c>
      <c r="G27" s="30">
        <v>3.0</v>
      </c>
      <c r="H27" s="32">
        <v>600.0</v>
      </c>
      <c r="I27" s="30">
        <f t="shared" si="1"/>
        <v>1800</v>
      </c>
      <c r="J27" s="32" t="s">
        <v>81</v>
      </c>
    </row>
    <row r="28" ht="22.5" customHeight="1">
      <c r="A28" s="30">
        <v>328.0</v>
      </c>
      <c r="B28" s="31">
        <v>45676.0</v>
      </c>
      <c r="C28" s="30" t="s">
        <v>143</v>
      </c>
      <c r="D28" s="32" t="s">
        <v>70</v>
      </c>
      <c r="E28" s="32" t="s">
        <v>262</v>
      </c>
      <c r="F28" s="30" t="s">
        <v>62</v>
      </c>
      <c r="G28" s="30">
        <v>4.0</v>
      </c>
      <c r="H28" s="30">
        <v>700.0</v>
      </c>
      <c r="I28" s="30">
        <f t="shared" si="1"/>
        <v>2800</v>
      </c>
      <c r="J28" s="32" t="s">
        <v>73</v>
      </c>
    </row>
    <row r="29" ht="22.5" customHeight="1">
      <c r="A29" s="30">
        <v>329.0</v>
      </c>
      <c r="B29" s="31">
        <v>45676.0</v>
      </c>
      <c r="C29" s="30" t="s">
        <v>145</v>
      </c>
      <c r="D29" s="32" t="s">
        <v>75</v>
      </c>
      <c r="E29" s="32" t="s">
        <v>263</v>
      </c>
      <c r="F29" s="30" t="s">
        <v>85</v>
      </c>
      <c r="G29" s="32">
        <v>3.0</v>
      </c>
      <c r="H29" s="30">
        <v>180.0</v>
      </c>
      <c r="I29" s="30">
        <f t="shared" si="1"/>
        <v>540</v>
      </c>
      <c r="J29" s="30" t="s">
        <v>63</v>
      </c>
    </row>
    <row r="30" ht="22.5" customHeight="1">
      <c r="A30" s="30">
        <v>330.0</v>
      </c>
      <c r="B30" s="31">
        <v>45677.0</v>
      </c>
      <c r="C30" s="30" t="s">
        <v>147</v>
      </c>
      <c r="D30" s="32" t="s">
        <v>79</v>
      </c>
      <c r="E30" s="30" t="s">
        <v>148</v>
      </c>
      <c r="F30" s="30" t="s">
        <v>85</v>
      </c>
      <c r="G30" s="34">
        <v>2.0</v>
      </c>
      <c r="H30" s="30">
        <v>250.0</v>
      </c>
      <c r="I30" s="32">
        <v>500.0</v>
      </c>
      <c r="J30" s="30" t="s">
        <v>81</v>
      </c>
    </row>
    <row r="31" ht="22.5" customHeight="1">
      <c r="A31" s="30">
        <v>331.0</v>
      </c>
      <c r="B31" s="31">
        <v>45678.0</v>
      </c>
      <c r="C31" s="30" t="s">
        <v>149</v>
      </c>
      <c r="D31" s="30" t="s">
        <v>83</v>
      </c>
      <c r="E31" s="30" t="s">
        <v>150</v>
      </c>
      <c r="F31" s="30" t="s">
        <v>136</v>
      </c>
      <c r="G31" s="30">
        <v>3.0</v>
      </c>
      <c r="H31" s="30">
        <v>400.0</v>
      </c>
      <c r="I31" s="30">
        <f t="shared" ref="I31:I100" si="2">G31*H31</f>
        <v>1200</v>
      </c>
      <c r="J31" s="32" t="s">
        <v>63</v>
      </c>
    </row>
    <row r="32" ht="22.5" customHeight="1">
      <c r="A32" s="30">
        <v>332.0</v>
      </c>
      <c r="B32" s="31">
        <v>45679.0</v>
      </c>
      <c r="C32" s="30" t="s">
        <v>151</v>
      </c>
      <c r="D32" s="32" t="s">
        <v>87</v>
      </c>
      <c r="E32" s="30" t="s">
        <v>152</v>
      </c>
      <c r="F32" s="30" t="s">
        <v>62</v>
      </c>
      <c r="G32" s="30">
        <v>2.0</v>
      </c>
      <c r="H32" s="30">
        <v>550.0</v>
      </c>
      <c r="I32" s="30">
        <f t="shared" si="2"/>
        <v>1100</v>
      </c>
      <c r="J32" s="32" t="s">
        <v>73</v>
      </c>
    </row>
    <row r="33" ht="22.5" customHeight="1">
      <c r="A33" s="30">
        <v>333.0</v>
      </c>
      <c r="B33" s="31">
        <v>45679.0</v>
      </c>
      <c r="C33" s="30" t="s">
        <v>153</v>
      </c>
      <c r="D33" s="30" t="s">
        <v>70</v>
      </c>
      <c r="E33" s="30" t="s">
        <v>154</v>
      </c>
      <c r="F33" s="30" t="s">
        <v>85</v>
      </c>
      <c r="G33" s="30">
        <v>1.0</v>
      </c>
      <c r="H33" s="30">
        <v>200.0</v>
      </c>
      <c r="I33" s="30">
        <f t="shared" si="2"/>
        <v>200</v>
      </c>
      <c r="J33" s="30" t="s">
        <v>73</v>
      </c>
    </row>
    <row r="34" ht="22.5" customHeight="1">
      <c r="A34" s="30">
        <v>334.0</v>
      </c>
      <c r="B34" s="31">
        <v>45680.0</v>
      </c>
      <c r="C34" s="30" t="s">
        <v>155</v>
      </c>
      <c r="D34" s="30" t="s">
        <v>75</v>
      </c>
      <c r="E34" s="30" t="s">
        <v>156</v>
      </c>
      <c r="F34" s="32" t="s">
        <v>62</v>
      </c>
      <c r="G34" s="30">
        <v>3.0</v>
      </c>
      <c r="H34" s="30">
        <v>500.0</v>
      </c>
      <c r="I34" s="30">
        <f t="shared" si="2"/>
        <v>1500</v>
      </c>
      <c r="J34" s="32" t="s">
        <v>81</v>
      </c>
    </row>
    <row r="35" ht="22.5" customHeight="1">
      <c r="A35" s="30">
        <v>335.0</v>
      </c>
      <c r="B35" s="31">
        <v>45680.0</v>
      </c>
      <c r="C35" s="30" t="s">
        <v>157</v>
      </c>
      <c r="D35" s="32" t="s">
        <v>79</v>
      </c>
      <c r="E35" s="30" t="s">
        <v>158</v>
      </c>
      <c r="F35" s="30" t="s">
        <v>159</v>
      </c>
      <c r="G35" s="30">
        <v>2.0</v>
      </c>
      <c r="H35" s="30">
        <v>300.0</v>
      </c>
      <c r="I35" s="30">
        <f t="shared" si="2"/>
        <v>600</v>
      </c>
      <c r="J35" s="30" t="s">
        <v>81</v>
      </c>
    </row>
    <row r="36" ht="22.5" customHeight="1">
      <c r="A36" s="30">
        <v>336.0</v>
      </c>
      <c r="B36" s="31">
        <v>45681.0</v>
      </c>
      <c r="C36" s="30" t="s">
        <v>160</v>
      </c>
      <c r="D36" s="30" t="s">
        <v>83</v>
      </c>
      <c r="E36" s="30" t="s">
        <v>161</v>
      </c>
      <c r="F36" s="30" t="s">
        <v>136</v>
      </c>
      <c r="G36" s="30">
        <v>3.0</v>
      </c>
      <c r="H36" s="30">
        <v>350.0</v>
      </c>
      <c r="I36" s="30">
        <f t="shared" si="2"/>
        <v>1050</v>
      </c>
      <c r="J36" s="30" t="s">
        <v>73</v>
      </c>
    </row>
    <row r="37" ht="22.5" customHeight="1">
      <c r="A37" s="30">
        <v>337.0</v>
      </c>
      <c r="B37" s="31">
        <v>45682.0</v>
      </c>
      <c r="C37" s="30" t="s">
        <v>162</v>
      </c>
      <c r="D37" s="30" t="s">
        <v>87</v>
      </c>
      <c r="E37" s="32" t="s">
        <v>133</v>
      </c>
      <c r="F37" s="30" t="s">
        <v>62</v>
      </c>
      <c r="G37" s="30">
        <v>4.0</v>
      </c>
      <c r="H37" s="30">
        <v>550.0</v>
      </c>
      <c r="I37" s="30">
        <f t="shared" si="2"/>
        <v>2200</v>
      </c>
      <c r="J37" s="30" t="s">
        <v>63</v>
      </c>
    </row>
    <row r="38" ht="22.5" customHeight="1">
      <c r="A38" s="30">
        <v>338.0</v>
      </c>
      <c r="B38" s="31">
        <v>45683.0</v>
      </c>
      <c r="C38" s="30" t="s">
        <v>164</v>
      </c>
      <c r="D38" s="32" t="s">
        <v>70</v>
      </c>
      <c r="E38" s="30" t="s">
        <v>148</v>
      </c>
      <c r="F38" s="30" t="s">
        <v>85</v>
      </c>
      <c r="G38" s="30">
        <v>3.0</v>
      </c>
      <c r="H38" s="30">
        <v>250.0</v>
      </c>
      <c r="I38" s="30">
        <f t="shared" si="2"/>
        <v>750</v>
      </c>
      <c r="J38" s="32" t="s">
        <v>63</v>
      </c>
    </row>
    <row r="39" ht="22.5" customHeight="1">
      <c r="A39" s="30">
        <v>339.0</v>
      </c>
      <c r="B39" s="31">
        <v>45684.0</v>
      </c>
      <c r="C39" s="30" t="s">
        <v>165</v>
      </c>
      <c r="D39" s="30" t="s">
        <v>75</v>
      </c>
      <c r="E39" s="30" t="s">
        <v>150</v>
      </c>
      <c r="F39" s="30" t="s">
        <v>136</v>
      </c>
      <c r="G39" s="30">
        <v>2.0</v>
      </c>
      <c r="H39" s="30">
        <v>400.0</v>
      </c>
      <c r="I39" s="30">
        <f t="shared" si="2"/>
        <v>800</v>
      </c>
      <c r="J39" s="30" t="s">
        <v>81</v>
      </c>
    </row>
    <row r="40" ht="22.5" customHeight="1">
      <c r="A40" s="30">
        <v>340.0</v>
      </c>
      <c r="B40" s="31">
        <v>45685.0</v>
      </c>
      <c r="C40" s="30" t="s">
        <v>166</v>
      </c>
      <c r="D40" s="30" t="s">
        <v>79</v>
      </c>
      <c r="E40" s="33" t="s">
        <v>257</v>
      </c>
      <c r="F40" s="32" t="s">
        <v>62</v>
      </c>
      <c r="G40" s="30">
        <v>2.0</v>
      </c>
      <c r="H40" s="30">
        <v>800.0</v>
      </c>
      <c r="I40" s="30">
        <f t="shared" si="2"/>
        <v>1600</v>
      </c>
      <c r="J40" s="30" t="s">
        <v>73</v>
      </c>
    </row>
    <row r="41" ht="22.5" customHeight="1">
      <c r="A41" s="30">
        <v>341.0</v>
      </c>
      <c r="B41" s="31">
        <v>45686.0</v>
      </c>
      <c r="C41" s="30" t="s">
        <v>167</v>
      </c>
      <c r="D41" s="32" t="s">
        <v>83</v>
      </c>
      <c r="E41" s="30" t="s">
        <v>169</v>
      </c>
      <c r="F41" s="30" t="s">
        <v>62</v>
      </c>
      <c r="G41" s="30">
        <v>3.0</v>
      </c>
      <c r="H41" s="30">
        <v>450.0</v>
      </c>
      <c r="I41" s="30">
        <f t="shared" si="2"/>
        <v>1350</v>
      </c>
      <c r="J41" s="30" t="s">
        <v>63</v>
      </c>
    </row>
    <row r="42" ht="22.5" customHeight="1">
      <c r="A42" s="30">
        <v>342.0</v>
      </c>
      <c r="B42" s="31">
        <v>45686.0</v>
      </c>
      <c r="C42" s="30" t="s">
        <v>170</v>
      </c>
      <c r="D42" s="32" t="s">
        <v>87</v>
      </c>
      <c r="E42" s="33" t="s">
        <v>88</v>
      </c>
      <c r="F42" s="30" t="s">
        <v>85</v>
      </c>
      <c r="G42" s="30">
        <v>4.0</v>
      </c>
      <c r="H42" s="30">
        <v>180.0</v>
      </c>
      <c r="I42" s="30">
        <f t="shared" si="2"/>
        <v>720</v>
      </c>
      <c r="J42" s="32" t="s">
        <v>73</v>
      </c>
    </row>
    <row r="43" ht="22.5" customHeight="1">
      <c r="A43" s="30">
        <v>343.0</v>
      </c>
      <c r="B43" s="31">
        <v>45687.0</v>
      </c>
      <c r="C43" s="30" t="s">
        <v>173</v>
      </c>
      <c r="D43" s="30" t="s">
        <v>70</v>
      </c>
      <c r="E43" s="30" t="s">
        <v>174</v>
      </c>
      <c r="F43" s="30" t="s">
        <v>62</v>
      </c>
      <c r="G43" s="30">
        <v>2.0</v>
      </c>
      <c r="H43" s="30">
        <v>550.0</v>
      </c>
      <c r="I43" s="30">
        <f t="shared" si="2"/>
        <v>1100</v>
      </c>
      <c r="J43" s="30" t="s">
        <v>81</v>
      </c>
    </row>
    <row r="44" ht="22.5" customHeight="1">
      <c r="A44" s="30">
        <v>344.0</v>
      </c>
      <c r="B44" s="31">
        <v>45687.0</v>
      </c>
      <c r="C44" s="30" t="s">
        <v>175</v>
      </c>
      <c r="D44" s="30" t="s">
        <v>75</v>
      </c>
      <c r="E44" s="30" t="s">
        <v>176</v>
      </c>
      <c r="F44" s="30" t="s">
        <v>62</v>
      </c>
      <c r="G44" s="30">
        <v>2.0</v>
      </c>
      <c r="H44" s="30">
        <v>700.0</v>
      </c>
      <c r="I44" s="30">
        <f t="shared" si="2"/>
        <v>1400</v>
      </c>
      <c r="J44" s="32" t="s">
        <v>81</v>
      </c>
    </row>
    <row r="45" ht="22.5" customHeight="1">
      <c r="A45" s="30">
        <v>345.0</v>
      </c>
      <c r="B45" s="31">
        <v>45687.0</v>
      </c>
      <c r="C45" s="30" t="s">
        <v>177</v>
      </c>
      <c r="D45" s="32" t="s">
        <v>79</v>
      </c>
      <c r="E45" s="30" t="s">
        <v>179</v>
      </c>
      <c r="F45" s="30" t="s">
        <v>136</v>
      </c>
      <c r="G45" s="30">
        <v>3.0</v>
      </c>
      <c r="H45" s="30">
        <v>300.0</v>
      </c>
      <c r="I45" s="30">
        <f t="shared" si="2"/>
        <v>900</v>
      </c>
      <c r="J45" s="32" t="s">
        <v>73</v>
      </c>
    </row>
    <row r="46" ht="22.5" customHeight="1">
      <c r="A46" s="30">
        <v>346.0</v>
      </c>
      <c r="B46" s="31">
        <v>45688.0</v>
      </c>
      <c r="C46" s="30" t="s">
        <v>180</v>
      </c>
      <c r="D46" s="30" t="s">
        <v>83</v>
      </c>
      <c r="E46" s="30" t="s">
        <v>141</v>
      </c>
      <c r="F46" s="30" t="s">
        <v>62</v>
      </c>
      <c r="G46" s="30">
        <v>1.0</v>
      </c>
      <c r="H46" s="30">
        <v>600.0</v>
      </c>
      <c r="I46" s="30">
        <f t="shared" si="2"/>
        <v>600</v>
      </c>
      <c r="J46" s="32" t="s">
        <v>63</v>
      </c>
    </row>
    <row r="47" ht="22.5" customHeight="1">
      <c r="A47" s="30">
        <v>347.0</v>
      </c>
      <c r="B47" s="31">
        <v>45689.0</v>
      </c>
      <c r="C47" s="30" t="s">
        <v>181</v>
      </c>
      <c r="D47" s="30" t="s">
        <v>87</v>
      </c>
      <c r="E47" s="30" t="s">
        <v>101</v>
      </c>
      <c r="F47" s="32" t="s">
        <v>62</v>
      </c>
      <c r="G47" s="30">
        <v>2.0</v>
      </c>
      <c r="H47" s="30">
        <v>400.0</v>
      </c>
      <c r="I47" s="30">
        <f t="shared" si="2"/>
        <v>800</v>
      </c>
      <c r="J47" s="30" t="s">
        <v>73</v>
      </c>
    </row>
    <row r="48" ht="22.5" customHeight="1">
      <c r="A48" s="30">
        <v>348.0</v>
      </c>
      <c r="B48" s="31">
        <v>45689.0</v>
      </c>
      <c r="C48" s="30" t="s">
        <v>182</v>
      </c>
      <c r="D48" s="30" t="s">
        <v>70</v>
      </c>
      <c r="E48" s="30" t="s">
        <v>183</v>
      </c>
      <c r="F48" s="32" t="s">
        <v>62</v>
      </c>
      <c r="G48" s="30">
        <v>2.0</v>
      </c>
      <c r="H48" s="30">
        <v>350.0</v>
      </c>
      <c r="I48" s="30">
        <f t="shared" si="2"/>
        <v>700</v>
      </c>
      <c r="J48" s="30" t="s">
        <v>73</v>
      </c>
    </row>
    <row r="49" ht="22.5" customHeight="1">
      <c r="A49" s="30">
        <v>349.0</v>
      </c>
      <c r="B49" s="31">
        <v>45690.0</v>
      </c>
      <c r="C49" s="30" t="s">
        <v>184</v>
      </c>
      <c r="D49" s="30" t="s">
        <v>75</v>
      </c>
      <c r="E49" s="30" t="s">
        <v>185</v>
      </c>
      <c r="F49" s="30" t="s">
        <v>62</v>
      </c>
      <c r="G49" s="30">
        <v>2.0</v>
      </c>
      <c r="H49" s="30">
        <v>550.0</v>
      </c>
      <c r="I49" s="30">
        <f t="shared" si="2"/>
        <v>1100</v>
      </c>
      <c r="J49" s="30" t="s">
        <v>63</v>
      </c>
    </row>
    <row r="50" ht="22.5" customHeight="1">
      <c r="A50" s="30">
        <v>350.0</v>
      </c>
      <c r="B50" s="31">
        <v>45690.0</v>
      </c>
      <c r="C50" s="30" t="s">
        <v>186</v>
      </c>
      <c r="D50" s="30" t="s">
        <v>79</v>
      </c>
      <c r="E50" s="33" t="s">
        <v>260</v>
      </c>
      <c r="F50" s="30" t="s">
        <v>62</v>
      </c>
      <c r="G50" s="30">
        <v>1.0</v>
      </c>
      <c r="H50" s="30">
        <v>850.0</v>
      </c>
      <c r="I50" s="30">
        <f t="shared" si="2"/>
        <v>850</v>
      </c>
      <c r="J50" s="30" t="s">
        <v>81</v>
      </c>
    </row>
    <row r="51" ht="22.5" customHeight="1">
      <c r="A51" s="30">
        <v>351.0</v>
      </c>
      <c r="B51" s="31">
        <v>45691.0</v>
      </c>
      <c r="C51" s="30" t="s">
        <v>188</v>
      </c>
      <c r="D51" s="30" t="s">
        <v>83</v>
      </c>
      <c r="E51" s="30" t="s">
        <v>126</v>
      </c>
      <c r="F51" s="30" t="s">
        <v>62</v>
      </c>
      <c r="G51" s="30">
        <v>2.0</v>
      </c>
      <c r="H51" s="30">
        <v>600.0</v>
      </c>
      <c r="I51" s="30">
        <f t="shared" si="2"/>
        <v>1200</v>
      </c>
      <c r="J51" s="32" t="s">
        <v>63</v>
      </c>
    </row>
    <row r="52" ht="22.5" customHeight="1">
      <c r="A52" s="30">
        <v>352.0</v>
      </c>
      <c r="B52" s="31">
        <v>45691.0</v>
      </c>
      <c r="C52" s="30" t="s">
        <v>189</v>
      </c>
      <c r="D52" s="32" t="s">
        <v>87</v>
      </c>
      <c r="E52" s="30" t="s">
        <v>156</v>
      </c>
      <c r="F52" s="32" t="s">
        <v>62</v>
      </c>
      <c r="G52" s="30">
        <v>3.0</v>
      </c>
      <c r="H52" s="30">
        <v>500.0</v>
      </c>
      <c r="I52" s="30">
        <f t="shared" si="2"/>
        <v>1500</v>
      </c>
      <c r="J52" s="32" t="s">
        <v>73</v>
      </c>
    </row>
    <row r="53" ht="22.5" customHeight="1">
      <c r="A53" s="35">
        <v>353.0</v>
      </c>
      <c r="B53" s="31">
        <v>45692.0</v>
      </c>
      <c r="C53" s="35" t="s">
        <v>190</v>
      </c>
      <c r="D53" s="35" t="s">
        <v>70</v>
      </c>
      <c r="E53" s="35" t="s">
        <v>120</v>
      </c>
      <c r="F53" s="35" t="s">
        <v>85</v>
      </c>
      <c r="G53" s="35">
        <v>4.0</v>
      </c>
      <c r="H53" s="35">
        <v>120.0</v>
      </c>
      <c r="I53" s="30">
        <f t="shared" si="2"/>
        <v>480</v>
      </c>
      <c r="J53" s="32" t="s">
        <v>81</v>
      </c>
    </row>
    <row r="54" ht="22.5" customHeight="1">
      <c r="A54" s="30">
        <v>354.0</v>
      </c>
      <c r="B54" s="31">
        <v>45692.0</v>
      </c>
      <c r="C54" s="35" t="s">
        <v>191</v>
      </c>
      <c r="D54" s="35" t="s">
        <v>75</v>
      </c>
      <c r="E54" s="35" t="s">
        <v>122</v>
      </c>
      <c r="F54" s="32" t="s">
        <v>62</v>
      </c>
      <c r="G54" s="35">
        <v>2.0</v>
      </c>
      <c r="H54" s="35">
        <v>400.0</v>
      </c>
      <c r="I54" s="30">
        <f t="shared" si="2"/>
        <v>800</v>
      </c>
      <c r="J54" s="35" t="s">
        <v>63</v>
      </c>
    </row>
    <row r="55" ht="22.5" customHeight="1">
      <c r="A55" s="30">
        <v>355.0</v>
      </c>
      <c r="B55" s="31">
        <v>45693.0</v>
      </c>
      <c r="C55" s="35" t="s">
        <v>192</v>
      </c>
      <c r="D55" s="32" t="s">
        <v>79</v>
      </c>
      <c r="E55" s="32" t="s">
        <v>257</v>
      </c>
      <c r="F55" s="35" t="s">
        <v>62</v>
      </c>
      <c r="G55" s="35">
        <v>1.0</v>
      </c>
      <c r="H55" s="35">
        <v>800.0</v>
      </c>
      <c r="I55" s="30">
        <f t="shared" si="2"/>
        <v>800</v>
      </c>
      <c r="J55" s="32" t="s">
        <v>73</v>
      </c>
    </row>
    <row r="56" ht="22.5" customHeight="1">
      <c r="A56" s="30">
        <v>356.0</v>
      </c>
      <c r="B56" s="31">
        <v>45693.0</v>
      </c>
      <c r="C56" s="35" t="s">
        <v>193</v>
      </c>
      <c r="D56" s="32" t="s">
        <v>83</v>
      </c>
      <c r="E56" s="35" t="s">
        <v>84</v>
      </c>
      <c r="F56" s="35" t="s">
        <v>85</v>
      </c>
      <c r="G56" s="35">
        <v>3.0</v>
      </c>
      <c r="H56" s="35">
        <v>250.0</v>
      </c>
      <c r="I56" s="30">
        <f t="shared" si="2"/>
        <v>750</v>
      </c>
      <c r="J56" s="35" t="s">
        <v>63</v>
      </c>
    </row>
    <row r="57" ht="22.5" customHeight="1">
      <c r="A57" s="30">
        <v>357.0</v>
      </c>
      <c r="B57" s="31">
        <v>45694.0</v>
      </c>
      <c r="C57" s="35" t="s">
        <v>194</v>
      </c>
      <c r="D57" s="35" t="s">
        <v>87</v>
      </c>
      <c r="E57" s="35" t="s">
        <v>195</v>
      </c>
      <c r="F57" s="35" t="s">
        <v>62</v>
      </c>
      <c r="G57" s="35">
        <v>3.0</v>
      </c>
      <c r="H57" s="35">
        <v>400.0</v>
      </c>
      <c r="I57" s="30">
        <f t="shared" si="2"/>
        <v>1200</v>
      </c>
      <c r="J57" s="35" t="s">
        <v>73</v>
      </c>
    </row>
    <row r="58" ht="22.5" customHeight="1">
      <c r="A58" s="30">
        <v>358.0</v>
      </c>
      <c r="B58" s="31">
        <v>45694.0</v>
      </c>
      <c r="C58" s="35" t="s">
        <v>196</v>
      </c>
      <c r="D58" s="35" t="s">
        <v>70</v>
      </c>
      <c r="E58" s="35" t="s">
        <v>197</v>
      </c>
      <c r="F58" s="35" t="s">
        <v>62</v>
      </c>
      <c r="G58" s="35">
        <v>2.0</v>
      </c>
      <c r="H58" s="35">
        <v>450.0</v>
      </c>
      <c r="I58" s="30">
        <f t="shared" si="2"/>
        <v>900</v>
      </c>
      <c r="J58" s="35" t="s">
        <v>81</v>
      </c>
    </row>
    <row r="59" ht="22.5" customHeight="1">
      <c r="A59" s="30">
        <v>359.0</v>
      </c>
      <c r="B59" s="31">
        <v>45695.0</v>
      </c>
      <c r="C59" s="35" t="s">
        <v>198</v>
      </c>
      <c r="D59" s="35" t="s">
        <v>75</v>
      </c>
      <c r="E59" s="35" t="s">
        <v>199</v>
      </c>
      <c r="F59" s="35" t="s">
        <v>62</v>
      </c>
      <c r="G59" s="35">
        <v>2.0</v>
      </c>
      <c r="H59" s="35">
        <v>650.0</v>
      </c>
      <c r="I59" s="30">
        <f t="shared" si="2"/>
        <v>1300</v>
      </c>
      <c r="J59" s="32" t="s">
        <v>63</v>
      </c>
    </row>
    <row r="60" ht="22.5" customHeight="1">
      <c r="A60" s="30">
        <v>360.0</v>
      </c>
      <c r="B60" s="31">
        <v>45664.0</v>
      </c>
      <c r="C60" s="35" t="s">
        <v>200</v>
      </c>
      <c r="D60" s="35" t="s">
        <v>79</v>
      </c>
      <c r="E60" s="35" t="s">
        <v>201</v>
      </c>
      <c r="F60" s="35" t="s">
        <v>136</v>
      </c>
      <c r="G60" s="35">
        <v>3.0</v>
      </c>
      <c r="H60" s="35">
        <v>350.0</v>
      </c>
      <c r="I60" s="30">
        <f t="shared" si="2"/>
        <v>1050</v>
      </c>
      <c r="J60" s="32" t="s">
        <v>73</v>
      </c>
    </row>
    <row r="61" ht="22.5" customHeight="1">
      <c r="A61" s="30">
        <v>361.0</v>
      </c>
      <c r="B61" s="31">
        <v>45696.0</v>
      </c>
      <c r="C61" s="35" t="s">
        <v>202</v>
      </c>
      <c r="D61" s="35" t="s">
        <v>83</v>
      </c>
      <c r="E61" s="35" t="s">
        <v>203</v>
      </c>
      <c r="F61" s="35" t="s">
        <v>85</v>
      </c>
      <c r="G61" s="35">
        <v>4.0</v>
      </c>
      <c r="H61" s="35">
        <v>150.0</v>
      </c>
      <c r="I61" s="30">
        <f t="shared" si="2"/>
        <v>600</v>
      </c>
      <c r="J61" s="35" t="s">
        <v>63</v>
      </c>
    </row>
    <row r="62" ht="22.5" customHeight="1">
      <c r="A62" s="30">
        <v>362.0</v>
      </c>
      <c r="B62" s="31">
        <v>45696.0</v>
      </c>
      <c r="C62" s="35" t="s">
        <v>204</v>
      </c>
      <c r="D62" s="32" t="s">
        <v>87</v>
      </c>
      <c r="E62" s="35" t="s">
        <v>205</v>
      </c>
      <c r="F62" s="35" t="s">
        <v>85</v>
      </c>
      <c r="G62" s="35">
        <v>3.0</v>
      </c>
      <c r="H62" s="35">
        <v>220.0</v>
      </c>
      <c r="I62" s="30">
        <f t="shared" si="2"/>
        <v>660</v>
      </c>
      <c r="J62" s="35" t="s">
        <v>73</v>
      </c>
    </row>
    <row r="63" ht="22.5" customHeight="1">
      <c r="A63" s="30">
        <v>363.0</v>
      </c>
      <c r="B63" s="31">
        <v>45697.0</v>
      </c>
      <c r="C63" s="35" t="s">
        <v>206</v>
      </c>
      <c r="D63" s="35" t="s">
        <v>70</v>
      </c>
      <c r="E63" s="35" t="s">
        <v>207</v>
      </c>
      <c r="F63" s="35" t="s">
        <v>159</v>
      </c>
      <c r="G63" s="35">
        <v>3.0</v>
      </c>
      <c r="H63" s="35">
        <v>200.0</v>
      </c>
      <c r="I63" s="30">
        <f t="shared" si="2"/>
        <v>600</v>
      </c>
      <c r="J63" s="32" t="s">
        <v>81</v>
      </c>
    </row>
    <row r="64" ht="22.5" customHeight="1">
      <c r="A64" s="30">
        <v>364.0</v>
      </c>
      <c r="B64" s="31">
        <v>45697.0</v>
      </c>
      <c r="C64" s="35" t="s">
        <v>208</v>
      </c>
      <c r="D64" s="35" t="s">
        <v>75</v>
      </c>
      <c r="E64" s="35" t="s">
        <v>209</v>
      </c>
      <c r="F64" s="35" t="s">
        <v>85</v>
      </c>
      <c r="G64" s="35">
        <v>2.0</v>
      </c>
      <c r="H64" s="35">
        <v>250.0</v>
      </c>
      <c r="I64" s="30">
        <f t="shared" si="2"/>
        <v>500</v>
      </c>
      <c r="J64" s="35" t="s">
        <v>63</v>
      </c>
    </row>
    <row r="65" ht="22.5" customHeight="1">
      <c r="A65" s="30">
        <v>365.0</v>
      </c>
      <c r="B65" s="31">
        <v>45698.0</v>
      </c>
      <c r="C65" s="35" t="s">
        <v>210</v>
      </c>
      <c r="D65" s="32" t="s">
        <v>79</v>
      </c>
      <c r="E65" s="35" t="s">
        <v>211</v>
      </c>
      <c r="F65" s="35" t="s">
        <v>62</v>
      </c>
      <c r="G65" s="35">
        <v>2.0</v>
      </c>
      <c r="H65" s="35">
        <v>850.0</v>
      </c>
      <c r="I65" s="30">
        <f t="shared" si="2"/>
        <v>1700</v>
      </c>
      <c r="J65" s="32" t="s">
        <v>73</v>
      </c>
    </row>
    <row r="66" ht="22.5" customHeight="1">
      <c r="A66" s="30">
        <v>366.0</v>
      </c>
      <c r="B66" s="31">
        <v>45698.0</v>
      </c>
      <c r="C66" s="35" t="s">
        <v>212</v>
      </c>
      <c r="D66" s="32" t="s">
        <v>83</v>
      </c>
      <c r="E66" s="35" t="s">
        <v>213</v>
      </c>
      <c r="F66" s="35" t="s">
        <v>62</v>
      </c>
      <c r="G66" s="35">
        <v>2.0</v>
      </c>
      <c r="H66" s="35">
        <v>500.0</v>
      </c>
      <c r="I66" s="30">
        <f t="shared" si="2"/>
        <v>1000</v>
      </c>
      <c r="J66" s="35" t="s">
        <v>63</v>
      </c>
    </row>
    <row r="67" ht="22.5" customHeight="1">
      <c r="A67" s="30">
        <v>367.0</v>
      </c>
      <c r="B67" s="31">
        <v>45699.0</v>
      </c>
      <c r="C67" s="35" t="s">
        <v>214</v>
      </c>
      <c r="D67" s="35" t="s">
        <v>87</v>
      </c>
      <c r="E67" s="35" t="s">
        <v>205</v>
      </c>
      <c r="F67" s="35" t="s">
        <v>85</v>
      </c>
      <c r="G67" s="35">
        <v>3.0</v>
      </c>
      <c r="H67" s="35">
        <v>220.0</v>
      </c>
      <c r="I67" s="30">
        <f t="shared" si="2"/>
        <v>660</v>
      </c>
      <c r="J67" s="35" t="s">
        <v>73</v>
      </c>
    </row>
    <row r="68" ht="22.5" customHeight="1">
      <c r="A68" s="30">
        <v>368.0</v>
      </c>
      <c r="B68" s="31">
        <v>45699.0</v>
      </c>
      <c r="C68" s="35" t="s">
        <v>215</v>
      </c>
      <c r="D68" s="35" t="s">
        <v>70</v>
      </c>
      <c r="E68" s="35" t="s">
        <v>174</v>
      </c>
      <c r="F68" s="35" t="s">
        <v>62</v>
      </c>
      <c r="G68" s="35">
        <v>2.0</v>
      </c>
      <c r="H68" s="35">
        <v>550.0</v>
      </c>
      <c r="I68" s="30">
        <f t="shared" si="2"/>
        <v>1100</v>
      </c>
      <c r="J68" s="35" t="s">
        <v>63</v>
      </c>
    </row>
    <row r="69" ht="22.5" customHeight="1">
      <c r="A69" s="30">
        <v>369.0</v>
      </c>
      <c r="B69" s="31">
        <v>45700.0</v>
      </c>
      <c r="C69" s="35" t="s">
        <v>216</v>
      </c>
      <c r="D69" s="35" t="s">
        <v>75</v>
      </c>
      <c r="E69" s="35" t="s">
        <v>217</v>
      </c>
      <c r="F69" s="35" t="s">
        <v>85</v>
      </c>
      <c r="G69" s="35">
        <v>4.0</v>
      </c>
      <c r="H69" s="35">
        <v>180.0</v>
      </c>
      <c r="I69" s="30">
        <f t="shared" si="2"/>
        <v>720</v>
      </c>
      <c r="J69" s="32" t="s">
        <v>63</v>
      </c>
    </row>
    <row r="70" ht="22.5" customHeight="1">
      <c r="A70" s="30">
        <v>370.0</v>
      </c>
      <c r="B70" s="31">
        <v>45700.0</v>
      </c>
      <c r="C70" s="35" t="s">
        <v>218</v>
      </c>
      <c r="D70" s="35" t="s">
        <v>79</v>
      </c>
      <c r="E70" s="35" t="s">
        <v>219</v>
      </c>
      <c r="F70" s="35" t="s">
        <v>136</v>
      </c>
      <c r="G70" s="35">
        <v>1.0</v>
      </c>
      <c r="H70" s="35">
        <v>600.0</v>
      </c>
      <c r="I70" s="30">
        <f t="shared" si="2"/>
        <v>600</v>
      </c>
      <c r="J70" s="35" t="s">
        <v>81</v>
      </c>
    </row>
    <row r="71" ht="22.5" customHeight="1">
      <c r="A71" s="30">
        <v>371.0</v>
      </c>
      <c r="B71" s="31">
        <v>45701.0</v>
      </c>
      <c r="C71" s="35" t="s">
        <v>220</v>
      </c>
      <c r="D71" s="35" t="s">
        <v>83</v>
      </c>
      <c r="E71" s="35" t="s">
        <v>169</v>
      </c>
      <c r="F71" s="35" t="s">
        <v>62</v>
      </c>
      <c r="G71" s="35">
        <v>3.0</v>
      </c>
      <c r="H71" s="35">
        <v>450.0</v>
      </c>
      <c r="I71" s="30">
        <f t="shared" si="2"/>
        <v>1350</v>
      </c>
      <c r="J71" s="35" t="s">
        <v>63</v>
      </c>
    </row>
    <row r="72" ht="22.5" customHeight="1">
      <c r="A72" s="30">
        <v>372.0</v>
      </c>
      <c r="B72" s="31">
        <v>45701.0</v>
      </c>
      <c r="C72" s="35" t="s">
        <v>221</v>
      </c>
      <c r="D72" s="35" t="s">
        <v>87</v>
      </c>
      <c r="E72" s="35" t="s">
        <v>222</v>
      </c>
      <c r="F72" s="35" t="s">
        <v>62</v>
      </c>
      <c r="G72" s="35">
        <v>2.0</v>
      </c>
      <c r="H72" s="35">
        <v>400.0</v>
      </c>
      <c r="I72" s="30">
        <f t="shared" si="2"/>
        <v>800</v>
      </c>
      <c r="J72" s="32" t="s">
        <v>73</v>
      </c>
    </row>
    <row r="73" ht="22.5" customHeight="1">
      <c r="A73" s="30">
        <v>373.0</v>
      </c>
      <c r="B73" s="31">
        <v>45702.0</v>
      </c>
      <c r="C73" s="35" t="s">
        <v>223</v>
      </c>
      <c r="D73" s="35" t="s">
        <v>70</v>
      </c>
      <c r="E73" s="35" t="s">
        <v>224</v>
      </c>
      <c r="F73" s="35" t="s">
        <v>85</v>
      </c>
      <c r="G73" s="35">
        <v>5.0</v>
      </c>
      <c r="H73" s="35">
        <v>100.0</v>
      </c>
      <c r="I73" s="30">
        <f t="shared" si="2"/>
        <v>500</v>
      </c>
      <c r="J73" s="35" t="s">
        <v>81</v>
      </c>
    </row>
    <row r="74" ht="22.5" customHeight="1">
      <c r="A74" s="30">
        <v>374.0</v>
      </c>
      <c r="B74" s="31">
        <v>45702.0</v>
      </c>
      <c r="C74" s="35" t="s">
        <v>225</v>
      </c>
      <c r="D74" s="35" t="s">
        <v>75</v>
      </c>
      <c r="E74" s="35" t="s">
        <v>226</v>
      </c>
      <c r="F74" s="35" t="s">
        <v>85</v>
      </c>
      <c r="G74" s="35">
        <v>3.0</v>
      </c>
      <c r="H74" s="35">
        <v>250.0</v>
      </c>
      <c r="I74" s="30">
        <f t="shared" si="2"/>
        <v>750</v>
      </c>
      <c r="J74" s="35" t="s">
        <v>63</v>
      </c>
    </row>
    <row r="75" ht="22.5" customHeight="1">
      <c r="A75" s="30">
        <v>375.0</v>
      </c>
      <c r="B75" s="31">
        <v>45703.0</v>
      </c>
      <c r="C75" s="35" t="s">
        <v>227</v>
      </c>
      <c r="D75" s="35" t="s">
        <v>79</v>
      </c>
      <c r="E75" s="35" t="s">
        <v>228</v>
      </c>
      <c r="F75" s="35" t="s">
        <v>62</v>
      </c>
      <c r="G75" s="35">
        <v>2.0</v>
      </c>
      <c r="H75" s="35">
        <v>900.0</v>
      </c>
      <c r="I75" s="30">
        <f t="shared" si="2"/>
        <v>1800</v>
      </c>
      <c r="J75" s="35" t="s">
        <v>73</v>
      </c>
    </row>
    <row r="76" ht="22.5" customHeight="1">
      <c r="A76" s="30">
        <v>376.0</v>
      </c>
      <c r="B76" s="31">
        <v>45703.0</v>
      </c>
      <c r="C76" s="35" t="s">
        <v>229</v>
      </c>
      <c r="D76" s="32" t="s">
        <v>83</v>
      </c>
      <c r="E76" s="35" t="s">
        <v>141</v>
      </c>
      <c r="F76" s="35" t="s">
        <v>62</v>
      </c>
      <c r="G76" s="35">
        <v>1.0</v>
      </c>
      <c r="H76" s="35">
        <v>600.0</v>
      </c>
      <c r="I76" s="30">
        <f t="shared" si="2"/>
        <v>600</v>
      </c>
      <c r="J76" s="32" t="s">
        <v>63</v>
      </c>
    </row>
    <row r="77" ht="22.5" customHeight="1">
      <c r="A77" s="30">
        <v>377.0</v>
      </c>
      <c r="B77" s="31">
        <v>45704.0</v>
      </c>
      <c r="C77" s="35" t="s">
        <v>230</v>
      </c>
      <c r="D77" s="32" t="s">
        <v>87</v>
      </c>
      <c r="E77" s="35" t="s">
        <v>101</v>
      </c>
      <c r="F77" s="32" t="s">
        <v>62</v>
      </c>
      <c r="G77" s="35">
        <v>2.0</v>
      </c>
      <c r="H77" s="35">
        <v>400.0</v>
      </c>
      <c r="I77" s="30">
        <f t="shared" si="2"/>
        <v>800</v>
      </c>
      <c r="J77" s="35" t="s">
        <v>73</v>
      </c>
    </row>
    <row r="78" ht="22.5" customHeight="1">
      <c r="A78" s="30">
        <v>378.0</v>
      </c>
      <c r="B78" s="31">
        <v>45704.0</v>
      </c>
      <c r="C78" s="35" t="s">
        <v>231</v>
      </c>
      <c r="D78" s="35" t="s">
        <v>70</v>
      </c>
      <c r="E78" s="35" t="s">
        <v>183</v>
      </c>
      <c r="F78" s="32" t="s">
        <v>62</v>
      </c>
      <c r="G78" s="35">
        <v>2.0</v>
      </c>
      <c r="H78" s="35">
        <v>350.0</v>
      </c>
      <c r="I78" s="30">
        <f t="shared" si="2"/>
        <v>700</v>
      </c>
      <c r="J78" s="35" t="s">
        <v>73</v>
      </c>
    </row>
    <row r="79" ht="22.5" customHeight="1">
      <c r="A79" s="30">
        <v>379.0</v>
      </c>
      <c r="B79" s="31">
        <v>45705.0</v>
      </c>
      <c r="C79" s="35" t="s">
        <v>232</v>
      </c>
      <c r="D79" s="35" t="s">
        <v>75</v>
      </c>
      <c r="E79" s="35" t="s">
        <v>185</v>
      </c>
      <c r="F79" s="35" t="s">
        <v>62</v>
      </c>
      <c r="G79" s="35">
        <v>2.0</v>
      </c>
      <c r="H79" s="35">
        <v>550.0</v>
      </c>
      <c r="I79" s="30">
        <f t="shared" si="2"/>
        <v>1100</v>
      </c>
      <c r="J79" s="35" t="s">
        <v>63</v>
      </c>
    </row>
    <row r="80" ht="22.5" customHeight="1">
      <c r="A80" s="30">
        <v>380.0</v>
      </c>
      <c r="B80" s="31">
        <v>45705.0</v>
      </c>
      <c r="C80" s="35" t="s">
        <v>233</v>
      </c>
      <c r="D80" s="32" t="s">
        <v>79</v>
      </c>
      <c r="E80" s="33" t="s">
        <v>260</v>
      </c>
      <c r="F80" s="35" t="s">
        <v>62</v>
      </c>
      <c r="G80" s="35">
        <v>1.0</v>
      </c>
      <c r="H80" s="35">
        <v>850.0</v>
      </c>
      <c r="I80" s="30">
        <f t="shared" si="2"/>
        <v>850</v>
      </c>
      <c r="J80" s="35" t="s">
        <v>81</v>
      </c>
    </row>
    <row r="81" ht="22.5" customHeight="1">
      <c r="A81" s="30">
        <v>381.0</v>
      </c>
      <c r="B81" s="31">
        <v>45706.0</v>
      </c>
      <c r="C81" s="35" t="s">
        <v>234</v>
      </c>
      <c r="D81" s="35" t="s">
        <v>83</v>
      </c>
      <c r="E81" s="35" t="s">
        <v>126</v>
      </c>
      <c r="F81" s="35" t="s">
        <v>62</v>
      </c>
      <c r="G81" s="35">
        <v>2.0</v>
      </c>
      <c r="H81" s="35">
        <v>600.0</v>
      </c>
      <c r="I81" s="30">
        <f t="shared" si="2"/>
        <v>1200</v>
      </c>
      <c r="J81" s="32" t="s">
        <v>63</v>
      </c>
    </row>
    <row r="82" ht="22.5" customHeight="1">
      <c r="A82" s="30">
        <v>382.0</v>
      </c>
      <c r="B82" s="31">
        <v>45706.0</v>
      </c>
      <c r="C82" s="35" t="s">
        <v>235</v>
      </c>
      <c r="D82" s="32" t="s">
        <v>87</v>
      </c>
      <c r="E82" s="35" t="s">
        <v>156</v>
      </c>
      <c r="F82" s="32" t="s">
        <v>62</v>
      </c>
      <c r="G82" s="35">
        <v>3.0</v>
      </c>
      <c r="H82" s="35">
        <v>500.0</v>
      </c>
      <c r="I82" s="30">
        <f t="shared" si="2"/>
        <v>1500</v>
      </c>
      <c r="J82" s="32" t="s">
        <v>73</v>
      </c>
    </row>
    <row r="83" ht="22.5" customHeight="1">
      <c r="A83" s="30">
        <v>383.0</v>
      </c>
      <c r="B83" s="31">
        <v>45707.0</v>
      </c>
      <c r="C83" s="35" t="s">
        <v>236</v>
      </c>
      <c r="D83" s="35" t="s">
        <v>70</v>
      </c>
      <c r="E83" s="35" t="s">
        <v>120</v>
      </c>
      <c r="F83" s="35" t="s">
        <v>85</v>
      </c>
      <c r="G83" s="35">
        <v>4.0</v>
      </c>
      <c r="H83" s="35">
        <v>120.0</v>
      </c>
      <c r="I83" s="30">
        <f t="shared" si="2"/>
        <v>480</v>
      </c>
      <c r="J83" s="32" t="s">
        <v>81</v>
      </c>
    </row>
    <row r="84" ht="22.5" customHeight="1">
      <c r="A84" s="30">
        <v>384.0</v>
      </c>
      <c r="B84" s="31">
        <v>45707.0</v>
      </c>
      <c r="C84" s="35" t="s">
        <v>237</v>
      </c>
      <c r="D84" s="35" t="s">
        <v>75</v>
      </c>
      <c r="E84" s="35" t="s">
        <v>122</v>
      </c>
      <c r="F84" s="32" t="s">
        <v>62</v>
      </c>
      <c r="G84" s="35">
        <v>2.0</v>
      </c>
      <c r="H84" s="35">
        <v>400.0</v>
      </c>
      <c r="I84" s="30">
        <f t="shared" si="2"/>
        <v>800</v>
      </c>
      <c r="J84" s="35" t="s">
        <v>63</v>
      </c>
    </row>
    <row r="85" ht="22.5" customHeight="1">
      <c r="A85" s="30">
        <v>385.0</v>
      </c>
      <c r="B85" s="31">
        <v>45708.0</v>
      </c>
      <c r="C85" s="35" t="s">
        <v>238</v>
      </c>
      <c r="D85" s="32" t="s">
        <v>79</v>
      </c>
      <c r="E85" s="33" t="s">
        <v>257</v>
      </c>
      <c r="F85" s="35" t="s">
        <v>62</v>
      </c>
      <c r="G85" s="35">
        <v>1.0</v>
      </c>
      <c r="H85" s="35">
        <v>800.0</v>
      </c>
      <c r="I85" s="30">
        <f t="shared" si="2"/>
        <v>800</v>
      </c>
      <c r="J85" s="32" t="s">
        <v>73</v>
      </c>
    </row>
    <row r="86" ht="22.5" customHeight="1">
      <c r="A86" s="30">
        <v>386.0</v>
      </c>
      <c r="B86" s="31">
        <v>45708.0</v>
      </c>
      <c r="C86" s="35" t="s">
        <v>239</v>
      </c>
      <c r="D86" s="32" t="s">
        <v>83</v>
      </c>
      <c r="E86" s="35" t="s">
        <v>84</v>
      </c>
      <c r="F86" s="35" t="s">
        <v>85</v>
      </c>
      <c r="G86" s="35">
        <v>3.0</v>
      </c>
      <c r="H86" s="35">
        <v>250.0</v>
      </c>
      <c r="I86" s="30">
        <f t="shared" si="2"/>
        <v>750</v>
      </c>
      <c r="J86" s="35" t="s">
        <v>63</v>
      </c>
    </row>
    <row r="87" ht="22.5" customHeight="1">
      <c r="A87" s="30">
        <v>387.0</v>
      </c>
      <c r="B87" s="31">
        <v>45709.0</v>
      </c>
      <c r="C87" s="35" t="s">
        <v>240</v>
      </c>
      <c r="D87" s="35" t="s">
        <v>87</v>
      </c>
      <c r="E87" s="35" t="s">
        <v>195</v>
      </c>
      <c r="F87" s="35" t="s">
        <v>62</v>
      </c>
      <c r="G87" s="35">
        <v>3.0</v>
      </c>
      <c r="H87" s="35">
        <v>400.0</v>
      </c>
      <c r="I87" s="30">
        <f t="shared" si="2"/>
        <v>1200</v>
      </c>
      <c r="J87" s="35" t="s">
        <v>73</v>
      </c>
    </row>
    <row r="88" ht="22.5" customHeight="1">
      <c r="A88" s="30">
        <v>388.0</v>
      </c>
      <c r="B88" s="31">
        <v>45709.0</v>
      </c>
      <c r="C88" s="35" t="s">
        <v>241</v>
      </c>
      <c r="D88" s="35" t="s">
        <v>70</v>
      </c>
      <c r="E88" s="35" t="s">
        <v>197</v>
      </c>
      <c r="F88" s="35" t="s">
        <v>62</v>
      </c>
      <c r="G88" s="35">
        <v>2.0</v>
      </c>
      <c r="H88" s="35">
        <v>450.0</v>
      </c>
      <c r="I88" s="30">
        <f t="shared" si="2"/>
        <v>900</v>
      </c>
      <c r="J88" s="35" t="s">
        <v>81</v>
      </c>
    </row>
    <row r="89" ht="22.5" customHeight="1">
      <c r="A89" s="30">
        <v>389.0</v>
      </c>
      <c r="B89" s="31">
        <v>45710.0</v>
      </c>
      <c r="C89" s="35" t="s">
        <v>242</v>
      </c>
      <c r="D89" s="35" t="s">
        <v>75</v>
      </c>
      <c r="E89" s="35" t="s">
        <v>199</v>
      </c>
      <c r="F89" s="35" t="s">
        <v>62</v>
      </c>
      <c r="G89" s="35">
        <v>2.0</v>
      </c>
      <c r="H89" s="35">
        <v>650.0</v>
      </c>
      <c r="I89" s="30">
        <f t="shared" si="2"/>
        <v>1300</v>
      </c>
      <c r="J89" s="32" t="s">
        <v>63</v>
      </c>
    </row>
    <row r="90" ht="22.5" customHeight="1">
      <c r="A90" s="30">
        <v>390.0</v>
      </c>
      <c r="B90" s="31">
        <v>45679.0</v>
      </c>
      <c r="C90" s="35" t="s">
        <v>243</v>
      </c>
      <c r="D90" s="35" t="s">
        <v>79</v>
      </c>
      <c r="E90" s="35" t="s">
        <v>201</v>
      </c>
      <c r="F90" s="35" t="s">
        <v>136</v>
      </c>
      <c r="G90" s="35">
        <v>3.0</v>
      </c>
      <c r="H90" s="35">
        <v>350.0</v>
      </c>
      <c r="I90" s="30">
        <f t="shared" si="2"/>
        <v>1050</v>
      </c>
      <c r="J90" s="32" t="s">
        <v>73</v>
      </c>
    </row>
    <row r="91" ht="22.5" customHeight="1">
      <c r="A91" s="30">
        <v>391.0</v>
      </c>
      <c r="B91" s="31">
        <v>45711.0</v>
      </c>
      <c r="C91" s="35" t="s">
        <v>244</v>
      </c>
      <c r="D91" s="35" t="s">
        <v>83</v>
      </c>
      <c r="E91" s="35" t="s">
        <v>203</v>
      </c>
      <c r="F91" s="35" t="s">
        <v>85</v>
      </c>
      <c r="G91" s="35">
        <v>4.0</v>
      </c>
      <c r="H91" s="35">
        <v>150.0</v>
      </c>
      <c r="I91" s="30">
        <f t="shared" si="2"/>
        <v>600</v>
      </c>
      <c r="J91" s="35" t="s">
        <v>63</v>
      </c>
    </row>
    <row r="92" ht="22.5" customHeight="1">
      <c r="A92" s="30">
        <v>392.0</v>
      </c>
      <c r="B92" s="31">
        <v>45711.0</v>
      </c>
      <c r="C92" s="35" t="s">
        <v>245</v>
      </c>
      <c r="D92" s="32" t="s">
        <v>87</v>
      </c>
      <c r="E92" s="35" t="s">
        <v>205</v>
      </c>
      <c r="F92" s="35" t="s">
        <v>85</v>
      </c>
      <c r="G92" s="35">
        <v>3.0</v>
      </c>
      <c r="H92" s="35">
        <v>220.0</v>
      </c>
      <c r="I92" s="30">
        <f t="shared" si="2"/>
        <v>660</v>
      </c>
      <c r="J92" s="35" t="s">
        <v>73</v>
      </c>
    </row>
    <row r="93" ht="22.5" customHeight="1">
      <c r="A93" s="30">
        <v>393.0</v>
      </c>
      <c r="B93" s="31">
        <v>45712.0</v>
      </c>
      <c r="C93" s="35" t="s">
        <v>246</v>
      </c>
      <c r="D93" s="35" t="s">
        <v>70</v>
      </c>
      <c r="E93" s="35" t="s">
        <v>207</v>
      </c>
      <c r="F93" s="35" t="s">
        <v>159</v>
      </c>
      <c r="G93" s="35">
        <v>3.0</v>
      </c>
      <c r="H93" s="35">
        <v>200.0</v>
      </c>
      <c r="I93" s="30">
        <f t="shared" si="2"/>
        <v>600</v>
      </c>
      <c r="J93" s="32" t="s">
        <v>81</v>
      </c>
    </row>
    <row r="94" ht="22.5" customHeight="1">
      <c r="A94" s="30">
        <v>394.0</v>
      </c>
      <c r="B94" s="31">
        <v>45712.0</v>
      </c>
      <c r="C94" s="35" t="s">
        <v>247</v>
      </c>
      <c r="D94" s="35" t="s">
        <v>75</v>
      </c>
      <c r="E94" s="35" t="s">
        <v>209</v>
      </c>
      <c r="F94" s="35" t="s">
        <v>85</v>
      </c>
      <c r="G94" s="35">
        <v>2.0</v>
      </c>
      <c r="H94" s="35">
        <v>250.0</v>
      </c>
      <c r="I94" s="30">
        <f t="shared" si="2"/>
        <v>500</v>
      </c>
      <c r="J94" s="35" t="s">
        <v>63</v>
      </c>
    </row>
    <row r="95" ht="22.5" customHeight="1">
      <c r="A95" s="35">
        <v>395.0</v>
      </c>
      <c r="B95" s="31">
        <v>45713.0</v>
      </c>
      <c r="C95" s="35" t="s">
        <v>248</v>
      </c>
      <c r="D95" s="32" t="s">
        <v>79</v>
      </c>
      <c r="E95" s="35" t="s">
        <v>211</v>
      </c>
      <c r="F95" s="35" t="s">
        <v>62</v>
      </c>
      <c r="G95" s="35">
        <v>2.0</v>
      </c>
      <c r="H95" s="35">
        <v>850.0</v>
      </c>
      <c r="I95" s="30">
        <f t="shared" si="2"/>
        <v>1700</v>
      </c>
      <c r="J95" s="32" t="s">
        <v>73</v>
      </c>
    </row>
    <row r="96" ht="22.5" customHeight="1">
      <c r="A96" s="35">
        <v>396.0</v>
      </c>
      <c r="B96" s="31">
        <v>45713.0</v>
      </c>
      <c r="C96" s="35" t="s">
        <v>249</v>
      </c>
      <c r="D96" s="32" t="s">
        <v>83</v>
      </c>
      <c r="E96" s="35" t="s">
        <v>213</v>
      </c>
      <c r="F96" s="35" t="s">
        <v>62</v>
      </c>
      <c r="G96" s="35">
        <v>2.0</v>
      </c>
      <c r="H96" s="35">
        <v>500.0</v>
      </c>
      <c r="I96" s="30">
        <f t="shared" si="2"/>
        <v>1000</v>
      </c>
      <c r="J96" s="35" t="s">
        <v>63</v>
      </c>
    </row>
    <row r="97" ht="22.5" customHeight="1">
      <c r="A97" s="35">
        <v>397.0</v>
      </c>
      <c r="B97" s="31">
        <v>45714.0</v>
      </c>
      <c r="C97" s="35" t="s">
        <v>250</v>
      </c>
      <c r="D97" s="35" t="s">
        <v>87</v>
      </c>
      <c r="E97" s="35" t="s">
        <v>205</v>
      </c>
      <c r="F97" s="35" t="s">
        <v>85</v>
      </c>
      <c r="G97" s="35">
        <v>3.0</v>
      </c>
      <c r="H97" s="35">
        <v>220.0</v>
      </c>
      <c r="I97" s="30">
        <f t="shared" si="2"/>
        <v>660</v>
      </c>
      <c r="J97" s="35" t="s">
        <v>73</v>
      </c>
    </row>
    <row r="98" ht="22.5" customHeight="1">
      <c r="A98" s="35">
        <v>398.0</v>
      </c>
      <c r="B98" s="31">
        <v>45714.0</v>
      </c>
      <c r="C98" s="35" t="s">
        <v>251</v>
      </c>
      <c r="D98" s="35" t="s">
        <v>70</v>
      </c>
      <c r="E98" s="35" t="s">
        <v>174</v>
      </c>
      <c r="F98" s="35" t="s">
        <v>62</v>
      </c>
      <c r="G98" s="35">
        <v>2.0</v>
      </c>
      <c r="H98" s="35">
        <v>550.0</v>
      </c>
      <c r="I98" s="30">
        <f t="shared" si="2"/>
        <v>1100</v>
      </c>
      <c r="J98" s="35" t="s">
        <v>63</v>
      </c>
    </row>
    <row r="99" ht="22.5" customHeight="1">
      <c r="A99" s="35">
        <v>399.0</v>
      </c>
      <c r="B99" s="31">
        <v>45715.0</v>
      </c>
      <c r="C99" s="35" t="s">
        <v>252</v>
      </c>
      <c r="D99" s="35" t="s">
        <v>75</v>
      </c>
      <c r="E99" s="35" t="s">
        <v>217</v>
      </c>
      <c r="F99" s="35" t="s">
        <v>85</v>
      </c>
      <c r="G99" s="35">
        <v>4.0</v>
      </c>
      <c r="H99" s="35">
        <v>180.0</v>
      </c>
      <c r="I99" s="30">
        <f t="shared" si="2"/>
        <v>720</v>
      </c>
      <c r="J99" s="32" t="s">
        <v>63</v>
      </c>
    </row>
    <row r="100" ht="22.5" customHeight="1">
      <c r="A100" s="35">
        <v>400.0</v>
      </c>
      <c r="B100" s="31">
        <v>45715.0</v>
      </c>
      <c r="C100" s="35" t="s">
        <v>253</v>
      </c>
      <c r="D100" s="35" t="s">
        <v>79</v>
      </c>
      <c r="E100" s="35" t="s">
        <v>219</v>
      </c>
      <c r="F100" s="35" t="s">
        <v>136</v>
      </c>
      <c r="G100" s="35">
        <v>1.0</v>
      </c>
      <c r="H100" s="35">
        <v>600.0</v>
      </c>
      <c r="I100" s="30">
        <f t="shared" si="2"/>
        <v>600</v>
      </c>
      <c r="J100" s="35" t="s">
        <v>81</v>
      </c>
    </row>
    <row r="101" ht="22.5" customHeight="1">
      <c r="A101" s="36"/>
      <c r="B101" s="37"/>
      <c r="C101" s="36"/>
      <c r="D101" s="36"/>
      <c r="E101" s="36"/>
      <c r="F101" s="36"/>
      <c r="G101" s="36">
        <f t="shared" ref="G101:I101" si="3">SUM(G2:G100)</f>
        <v>239</v>
      </c>
      <c r="H101" s="38">
        <f t="shared" si="3"/>
        <v>44340</v>
      </c>
      <c r="I101" s="36">
        <f t="shared" si="3"/>
        <v>95250</v>
      </c>
      <c r="J101" s="36"/>
    </row>
  </sheetData>
  <conditionalFormatting sqref="I1:I100">
    <cfRule type="colorScale" priority="1">
      <colorScale>
        <cfvo type="formula" val="22.345"/>
        <cfvo type="formula" val="50"/>
        <cfvo type="formula" val="2800"/>
        <color rgb="FFE67C73"/>
        <color rgb="FFFFFFFF"/>
        <color rgb="FF57BB8A"/>
      </colorScale>
    </cfRule>
  </conditionalFormatting>
  <dataValidations>
    <dataValidation type="custom" allowBlank="1" showDropDown="1" sqref="B2:B1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2" max="2" width="23.0"/>
    <col customWidth="1" min="4" max="4" width="14.25"/>
    <col customWidth="1" min="5" max="5" width="2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6"/>
</worksheet>
</file>